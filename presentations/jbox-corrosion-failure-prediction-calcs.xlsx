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107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L14" i="1" l="1"/>
  <c r="I15" i="1"/>
  <c r="J15" i="1"/>
  <c r="D6" i="1"/>
  <c r="D10" i="1" s="1"/>
  <c r="K15" i="1" l="1"/>
  <c r="L15" i="1" s="1"/>
  <c r="I16" i="1"/>
  <c r="J16" i="1" s="1"/>
  <c r="K16" i="1" s="1"/>
  <c r="M16" i="1" s="1"/>
  <c r="M15" i="1" l="1"/>
  <c r="L16" i="1"/>
</calcChain>
</file>

<file path=xl/sharedStrings.xml><?xml version="1.0" encoding="utf-8"?>
<sst xmlns="http://schemas.openxmlformats.org/spreadsheetml/2006/main" count="22" uniqueCount="22">
  <si>
    <t>failures/million hours</t>
  </si>
  <si>
    <t>hrs/day</t>
  </si>
  <si>
    <t>days/year</t>
  </si>
  <si>
    <t>Base Failure Rate</t>
  </si>
  <si>
    <t>failures / year</t>
  </si>
  <si>
    <t>million hours/hour</t>
  </si>
  <si>
    <t>Base</t>
  </si>
  <si>
    <t>Environment</t>
  </si>
  <si>
    <t>Tool Type</t>
  </si>
  <si>
    <t>Quality</t>
  </si>
  <si>
    <t>Ground, fixed</t>
  </si>
  <si>
    <t>Airborne, Subsonic, Uninhabited</t>
  </si>
  <si>
    <t>Manual</t>
  </si>
  <si>
    <t>Low</t>
  </si>
  <si>
    <t>Age (years)</t>
  </si>
  <si>
    <t>Fleet Size</t>
  </si>
  <si>
    <t>Customized (Standard = 1.0)</t>
  </si>
  <si>
    <t>Factors from doc  "a050505-Crimp-Connection-Reliability.pdf"</t>
  </si>
  <si>
    <t>Failures (Gf, TTm, Qs)</t>
  </si>
  <si>
    <t>Failures (Gf, TTm, Ql)</t>
  </si>
  <si>
    <t>Base Rate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</si>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</sst>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164" fontId="0" fillId="0" borderId="0" xfId="0" quotePrefix="1" applyNumberFormat="1"/>
    <xf numFmtId="164" fontId="0" fillId="2" borderId="0" xfId="0" applyNumberFormat="1" applyFill="1"/>
    <xf numFmtId="1" fontId="0" fillId="0" borderId="0" xfId="0" applyNumberFormat="1" applyAlignment="1">
      <alignment horizontal="center" vertical="center"/>
    </xf>
    <xf numFmtId="165" fontId="0" fillId="2" borderId="0" xfId="0" applyNumberFormat="1" applyFill="1"/>
    <xf numFmtId="0" fontId="0" fillId="0" borderId="1" xfId="0" applyBorder="1"/>
    <xf numFmtId="164" fontId="0" fillId="2" borderId="2" xfId="0" applyNumberFormat="1" applyFill="1" applyBorder="1"/>
    <xf numFmtId="0" fontId="0" fillId="0" borderId="3" xfId="0" applyBorder="1"/>
    <xf numFmtId="164" fontId="0" fillId="0" borderId="4" xfId="0" applyNumberFormat="1" applyBorder="1"/>
    <xf numFmtId="0" fontId="0" fillId="2" borderId="1" xfId="0" applyFill="1" applyBorder="1"/>
    <xf numFmtId="0" fontId="0" fillId="2" borderId="5" xfId="0" applyFill="1" applyBorder="1"/>
    <xf numFmtId="0" fontId="0" fillId="2" borderId="2" xfId="0" applyFill="1" applyBorder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workbookViewId="0">
      <selection activeCell="J4" sqref="J4"/>
    </sheetView>
  </sheetViews>
  <sheetFormatPr defaultRowHeight="15" x14ac:dyDescent="0.25"/>
  <cols>
    <col min="2" max="2" width="12.42578125" bestFit="1" customWidth="1"/>
    <col min="3" max="3" width="30.42578125" style="2" bestFit="1" customWidth="1"/>
    <col min="4" max="4" width="15.5703125" style="1" customWidth="1"/>
    <col min="8" max="8" width="25.42578125" customWidth="1"/>
    <col min="9" max="9" width="16.85546875" style="1" customWidth="1"/>
    <col min="10" max="10" width="12" bestFit="1" customWidth="1"/>
  </cols>
  <sheetData>
    <row r="1" spans="1:13" x14ac:dyDescent="0.25">
      <c r="A1" t="s">
        <v>17</v>
      </c>
    </row>
    <row r="3" spans="1:13" x14ac:dyDescent="0.25">
      <c r="D3" s="1" t="s">
        <v>3</v>
      </c>
    </row>
    <row r="5" spans="1:13" x14ac:dyDescent="0.25">
      <c r="D5" s="1">
        <v>2.5500000000000002E-4</v>
      </c>
      <c r="E5" t="s">
        <v>0</v>
      </c>
    </row>
    <row r="6" spans="1:13" x14ac:dyDescent="0.25">
      <c r="D6" s="1">
        <f>1/1000000</f>
        <v>9.9999999999999995E-7</v>
      </c>
      <c r="E6" t="s">
        <v>5</v>
      </c>
    </row>
    <row r="7" spans="1:13" x14ac:dyDescent="0.25">
      <c r="D7" s="1">
        <v>24</v>
      </c>
      <c r="E7" t="s">
        <v>1</v>
      </c>
    </row>
    <row r="8" spans="1:13" x14ac:dyDescent="0.25">
      <c r="D8" s="1">
        <v>365</v>
      </c>
      <c r="E8" t="s">
        <v>2</v>
      </c>
    </row>
    <row r="10" spans="1:13" x14ac:dyDescent="0.25">
      <c r="C10" s="2" t="s">
        <v>6</v>
      </c>
      <c r="D10" s="6">
        <f>PRODUCT(D5:D8)</f>
        <v>2.2337999999999997E-6</v>
      </c>
      <c r="E10" t="s">
        <v>4</v>
      </c>
      <c r="I10" s="5" t="s">
        <v>15</v>
      </c>
    </row>
    <row r="11" spans="1:13" x14ac:dyDescent="0.25">
      <c r="I11" s="7">
        <v>485</v>
      </c>
      <c r="J11" s="2"/>
    </row>
    <row r="12" spans="1:13" x14ac:dyDescent="0.25">
      <c r="B12" t="s">
        <v>7</v>
      </c>
      <c r="C12" s="3" t="s">
        <v>10</v>
      </c>
      <c r="D12" s="8">
        <v>1.5</v>
      </c>
      <c r="I12" s="5"/>
      <c r="J12" s="2"/>
    </row>
    <row r="13" spans="1:13" ht="15.75" thickBot="1" x14ac:dyDescent="0.3">
      <c r="C13" s="3" t="s">
        <v>11</v>
      </c>
      <c r="D13" s="4">
        <v>4</v>
      </c>
      <c r="I13" s="5"/>
      <c r="J13" s="2" t="s">
        <v>14</v>
      </c>
    </row>
    <row r="14" spans="1:13" ht="15.75" thickBot="1" x14ac:dyDescent="0.3">
      <c r="C14" s="3"/>
      <c r="D14" s="4"/>
      <c r="I14" s="7" t="s">
        <v>20</v>
      </c>
      <c r="J14" s="18">
        <v>20</v>
      </c>
      <c r="K14" s="19">
        <v>30</v>
      </c>
      <c r="L14" s="19">
        <f>2016-1983</f>
        <v>33</v>
      </c>
      <c r="M14" s="20">
        <v>40</v>
      </c>
    </row>
    <row r="15" spans="1:13" x14ac:dyDescent="0.25">
      <c r="C15" s="3"/>
      <c r="D15" s="4"/>
      <c r="H15" s="9" t="s">
        <v>18</v>
      </c>
      <c r="I15" s="10">
        <f>PRODUCT(D10,D12,D18,D22,I11)</f>
        <v>1.6250894999999998E-2</v>
      </c>
      <c r="J15" s="13">
        <f>I15*J$14</f>
        <v>0.32501789999999997</v>
      </c>
      <c r="K15" s="14">
        <f>J15*K$14</f>
        <v>9.7505369999999996</v>
      </c>
      <c r="L15" s="14">
        <f>K15*L$14</f>
        <v>321.76772099999999</v>
      </c>
      <c r="M15" s="15">
        <f>K15*M$14</f>
        <v>390.02148</v>
      </c>
    </row>
    <row r="16" spans="1:13" ht="15.75" thickBot="1" x14ac:dyDescent="0.3">
      <c r="C16" s="3"/>
      <c r="D16" s="4"/>
      <c r="H16" s="11" t="s">
        <v>19</v>
      </c>
      <c r="I16" s="12">
        <f>PRODUCT(D10,D12,D18,D23,I14)</f>
        <v>6.7013999999999992E-5</v>
      </c>
      <c r="J16" s="11">
        <f>I16*J$14</f>
        <v>1.3402799999999999E-3</v>
      </c>
      <c r="K16" s="16">
        <f>J16*K$14</f>
        <v>4.0208399999999998E-2</v>
      </c>
      <c r="L16" s="16">
        <f>K16*L$14</f>
        <v>1.3268772</v>
      </c>
      <c r="M16" s="17">
        <f>K16*M$14</f>
        <v>1.608336</v>
      </c>
    </row>
    <row r="17" spans="2:10" x14ac:dyDescent="0.25">
      <c r="C17" s="3"/>
      <c r="D17" s="4"/>
    </row>
    <row r="18" spans="2:10" x14ac:dyDescent="0.25">
      <c r="B18" t="s">
        <v>8</v>
      </c>
      <c r="C18" s="3" t="s">
        <v>12</v>
      </c>
      <c r="D18" s="8">
        <v>2</v>
      </c>
    </row>
    <row r="19" spans="2:10" x14ac:dyDescent="0.25">
      <c r="C19" s="3"/>
      <c r="D19" s="4"/>
    </row>
    <row r="20" spans="2:10" x14ac:dyDescent="0.25">
      <c r="C20" s="3"/>
      <c r="D20" s="4"/>
    </row>
    <row r="21" spans="2:10" x14ac:dyDescent="0.25">
      <c r="C21" s="3"/>
      <c r="D21" s="4"/>
    </row>
    <row r="22" spans="2:10" x14ac:dyDescent="0.25">
      <c r="B22" t="s">
        <v>9</v>
      </c>
      <c r="C22" s="3" t="s">
        <v>16</v>
      </c>
      <c r="D22" s="8">
        <v>5</v>
      </c>
      <c r="J22" t="s">
        <v>21</v>
      </c>
    </row>
    <row r="23" spans="2:10" x14ac:dyDescent="0.25">
      <c r="C23" s="3" t="s">
        <v>13</v>
      </c>
      <c r="D23" s="4">
        <v>10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U.S Air Force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LaPach</dc:creator>
  <cp:lastModifiedBy>Bill LaPach</cp:lastModifiedBy>
  <dcterms:created xsi:type="dcterms:W3CDTF">2016-01-27T17:31:27Z</dcterms:created>
  <dcterms:modified xsi:type="dcterms:W3CDTF">2016-01-27T18:17:44Z</dcterms:modified>
</cp:coreProperties>
</file>