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William.Lapach\Documents\__AFNWC\SLE-Modeling\SLE_J-Box\"/>
    </mc:Choice>
  </mc:AlternateContent>
  <bookViews>
    <workbookView xWindow="0" yWindow="1755" windowWidth="22035" windowHeight="8505" tabRatio="919"/>
  </bookViews>
  <sheets>
    <sheet name="Failure Mode Effects Model" sheetId="3" r:id="rId1"/>
  </sheets>
  <definedNames>
    <definedName name="alloc">'Failure Mode Effects Model'!$H$15</definedName>
    <definedName name="beta">'Failure Mode Effects Model'!$B$10</definedName>
    <definedName name="chance">'Failure Mode Effects Model'!$J$17</definedName>
    <definedName name="eta">'Failure Mode Effects Model'!$B$8</definedName>
    <definedName name="margin">'Failure Mode Effects Model'!$G$20</definedName>
    <definedName name="mfr_yr">'Failure Mode Effects Model'!$A$22</definedName>
    <definedName name="SpecifiedR">#REF!</definedName>
    <definedName name="ups">'Failure Mode Effects Model'!$B$12</definedName>
  </definedNames>
  <calcPr calcId="152511"/>
</workbook>
</file>

<file path=xl/calcChain.xml><?xml version="1.0" encoding="utf-8"?>
<calcChain xmlns="http://schemas.openxmlformats.org/spreadsheetml/2006/main">
  <c r="G20" i="3" l="1"/>
  <c r="E23" i="3"/>
  <c r="A23" i="3" l="1"/>
  <c r="A24" i="3" s="1"/>
  <c r="B24" i="3" s="1"/>
  <c r="F24" i="3" l="1"/>
  <c r="D24" i="3"/>
  <c r="G24" i="3"/>
  <c r="B23" i="3"/>
  <c r="H24" i="3"/>
  <c r="A25" i="3"/>
  <c r="F23" i="3" l="1"/>
  <c r="G23" i="3" s="1"/>
  <c r="D23" i="3"/>
  <c r="H23" i="3"/>
  <c r="A26" i="3"/>
  <c r="B25" i="3"/>
  <c r="E24" i="3" l="1"/>
  <c r="F25" i="3"/>
  <c r="D25" i="3"/>
  <c r="H25" i="3"/>
  <c r="G25" i="3"/>
  <c r="A27" i="3"/>
  <c r="B26" i="3"/>
  <c r="E25" i="3" l="1"/>
  <c r="F26" i="3"/>
  <c r="D26" i="3"/>
  <c r="G26" i="3"/>
  <c r="H26" i="3"/>
  <c r="A28" i="3"/>
  <c r="B27" i="3"/>
  <c r="E26" i="3" l="1"/>
  <c r="F27" i="3"/>
  <c r="D27" i="3"/>
  <c r="H27" i="3"/>
  <c r="G27" i="3"/>
  <c r="B28" i="3"/>
  <c r="A29" i="3"/>
  <c r="E27" i="3" l="1"/>
  <c r="F28" i="3"/>
  <c r="D28" i="3"/>
  <c r="A30" i="3"/>
  <c r="B29" i="3"/>
  <c r="G28" i="3"/>
  <c r="H28" i="3"/>
  <c r="E28" i="3" l="1"/>
  <c r="F29" i="3"/>
  <c r="D29" i="3"/>
  <c r="H29" i="3"/>
  <c r="G29" i="3"/>
  <c r="A31" i="3"/>
  <c r="B30" i="3"/>
  <c r="E29" i="3" l="1"/>
  <c r="F30" i="3"/>
  <c r="D30" i="3"/>
  <c r="G30" i="3"/>
  <c r="B31" i="3"/>
  <c r="A32" i="3"/>
  <c r="E30" i="3" l="1"/>
  <c r="F31" i="3"/>
  <c r="D31" i="3"/>
  <c r="H30" i="3"/>
  <c r="H31" i="3"/>
  <c r="B32" i="3"/>
  <c r="A33" i="3"/>
  <c r="E31" i="3" l="1"/>
  <c r="F32" i="3"/>
  <c r="D32" i="3"/>
  <c r="G31" i="3"/>
  <c r="H32" i="3"/>
  <c r="A34" i="3"/>
  <c r="B33" i="3"/>
  <c r="E32" i="3" l="1"/>
  <c r="F33" i="3"/>
  <c r="D33" i="3"/>
  <c r="G32" i="3"/>
  <c r="A35" i="3"/>
  <c r="B34" i="3"/>
  <c r="H33" i="3"/>
  <c r="E33" i="3" l="1"/>
  <c r="F34" i="3"/>
  <c r="D34" i="3"/>
  <c r="G33" i="3"/>
  <c r="H34" i="3"/>
  <c r="G34" i="3"/>
  <c r="B35" i="3"/>
  <c r="A36" i="3"/>
  <c r="E34" i="3" l="1"/>
  <c r="F35" i="3"/>
  <c r="D35" i="3"/>
  <c r="G35" i="3"/>
  <c r="B36" i="3"/>
  <c r="A37" i="3"/>
  <c r="E35" i="3" l="1"/>
  <c r="F36" i="3"/>
  <c r="G36" i="3" s="1"/>
  <c r="D36" i="3"/>
  <c r="H35" i="3"/>
  <c r="A38" i="3"/>
  <c r="B37" i="3"/>
  <c r="E36" i="3" l="1"/>
  <c r="F37" i="3"/>
  <c r="G37" i="3" s="1"/>
  <c r="D37" i="3"/>
  <c r="H36" i="3"/>
  <c r="A39" i="3"/>
  <c r="B38" i="3"/>
  <c r="E37" i="3" l="1"/>
  <c r="F38" i="3"/>
  <c r="D38" i="3"/>
  <c r="H37" i="3"/>
  <c r="A40" i="3"/>
  <c r="B39" i="3"/>
  <c r="E38" i="3" l="1"/>
  <c r="H38" i="3"/>
  <c r="G38" i="3"/>
  <c r="F39" i="3"/>
  <c r="D39" i="3"/>
  <c r="E39" i="3" s="1"/>
  <c r="B40" i="3"/>
  <c r="A41" i="3"/>
  <c r="H39" i="3" l="1"/>
  <c r="G39" i="3"/>
  <c r="F40" i="3"/>
  <c r="D40" i="3"/>
  <c r="E40" i="3" s="1"/>
  <c r="B41" i="3"/>
  <c r="A42" i="3"/>
  <c r="G40" i="3" l="1"/>
  <c r="H40" i="3"/>
  <c r="F41" i="3"/>
  <c r="D41" i="3"/>
  <c r="E41" i="3" s="1"/>
  <c r="A43" i="3"/>
  <c r="B42" i="3"/>
  <c r="H41" i="3" l="1"/>
  <c r="F42" i="3"/>
  <c r="D42" i="3"/>
  <c r="E42" i="3" s="1"/>
  <c r="G41" i="3"/>
  <c r="A44" i="3"/>
  <c r="B43" i="3"/>
  <c r="H42" i="3" l="1"/>
  <c r="F43" i="3"/>
  <c r="H43" i="3" s="1"/>
  <c r="D43" i="3"/>
  <c r="E43" i="3" s="1"/>
  <c r="G42" i="3"/>
  <c r="B44" i="3"/>
  <c r="A45" i="3"/>
  <c r="F44" i="3" l="1"/>
  <c r="H44" i="3" s="1"/>
  <c r="D44" i="3"/>
  <c r="E44" i="3" s="1"/>
  <c r="G43" i="3"/>
  <c r="B45" i="3"/>
  <c r="A46" i="3"/>
  <c r="F45" i="3" l="1"/>
  <c r="H45" i="3" s="1"/>
  <c r="D45" i="3"/>
  <c r="E45" i="3" s="1"/>
  <c r="G44" i="3"/>
  <c r="A47" i="3"/>
  <c r="B46" i="3"/>
  <c r="G45" i="3" l="1"/>
  <c r="F46" i="3"/>
  <c r="H46" i="3" s="1"/>
  <c r="D46" i="3"/>
  <c r="E46" i="3" s="1"/>
  <c r="A48" i="3"/>
  <c r="B47" i="3"/>
  <c r="G46" i="3" l="1"/>
  <c r="F47" i="3"/>
  <c r="D47" i="3"/>
  <c r="E47" i="3" s="1"/>
  <c r="B48" i="3"/>
  <c r="A49" i="3"/>
  <c r="G47" i="3" l="1"/>
  <c r="H47" i="3"/>
  <c r="F48" i="3"/>
  <c r="D48" i="3"/>
  <c r="E48" i="3" s="1"/>
  <c r="A50" i="3"/>
  <c r="B49" i="3"/>
  <c r="H48" i="3" l="1"/>
  <c r="F49" i="3"/>
  <c r="D49" i="3"/>
  <c r="E49" i="3" s="1"/>
  <c r="G48" i="3"/>
  <c r="A51" i="3"/>
  <c r="B50" i="3"/>
  <c r="F50" i="3" l="1"/>
  <c r="D50" i="3"/>
  <c r="E50" i="3" s="1"/>
  <c r="G49" i="3"/>
  <c r="H49" i="3"/>
  <c r="A52" i="3"/>
  <c r="B51" i="3"/>
  <c r="H50" i="3" l="1"/>
  <c r="F51" i="3"/>
  <c r="D51" i="3"/>
  <c r="E51" i="3" s="1"/>
  <c r="G50" i="3"/>
  <c r="B52" i="3"/>
  <c r="A53" i="3"/>
  <c r="H51" i="3" l="1"/>
  <c r="F52" i="3"/>
  <c r="D52" i="3"/>
  <c r="E52" i="3" s="1"/>
  <c r="G51" i="3"/>
  <c r="A54" i="3"/>
  <c r="B53" i="3"/>
  <c r="H52" i="3" l="1"/>
  <c r="F53" i="3"/>
  <c r="D53" i="3"/>
  <c r="E53" i="3" s="1"/>
  <c r="G52" i="3"/>
  <c r="A55" i="3"/>
  <c r="B54" i="3"/>
  <c r="H53" i="3" l="1"/>
  <c r="F54" i="3"/>
  <c r="D54" i="3"/>
  <c r="E54" i="3" s="1"/>
  <c r="G53" i="3"/>
  <c r="A56" i="3"/>
  <c r="B55" i="3"/>
  <c r="H54" i="3" l="1"/>
  <c r="F55" i="3"/>
  <c r="D55" i="3"/>
  <c r="E55" i="3" s="1"/>
  <c r="G54" i="3"/>
  <c r="B56" i="3"/>
  <c r="A57" i="3"/>
  <c r="G55" i="3" l="1"/>
  <c r="F56" i="3"/>
  <c r="D56" i="3"/>
  <c r="E56" i="3" s="1"/>
  <c r="H55" i="3"/>
  <c r="A58" i="3"/>
  <c r="B57" i="3"/>
  <c r="G56" i="3" l="1"/>
  <c r="F57" i="3"/>
  <c r="D57" i="3"/>
  <c r="E57" i="3" s="1"/>
  <c r="H56" i="3"/>
  <c r="A59" i="3"/>
  <c r="B58" i="3"/>
  <c r="G57" i="3" l="1"/>
  <c r="F58" i="3"/>
  <c r="D58" i="3"/>
  <c r="E58" i="3" s="1"/>
  <c r="H57" i="3"/>
  <c r="A60" i="3"/>
  <c r="B59" i="3"/>
  <c r="F59" i="3" l="1"/>
  <c r="D59" i="3"/>
  <c r="E59" i="3" s="1"/>
  <c r="H58" i="3"/>
  <c r="G58" i="3"/>
  <c r="B60" i="3"/>
  <c r="A61" i="3"/>
  <c r="H59" i="3" l="1"/>
  <c r="F60" i="3"/>
  <c r="D60" i="3"/>
  <c r="E60" i="3" s="1"/>
  <c r="G59" i="3"/>
  <c r="A62" i="3"/>
  <c r="B61" i="3"/>
  <c r="F61" i="3" l="1"/>
  <c r="D61" i="3"/>
  <c r="E61" i="3" s="1"/>
  <c r="G60" i="3"/>
  <c r="H60" i="3"/>
  <c r="A63" i="3"/>
  <c r="B62" i="3"/>
  <c r="F62" i="3" l="1"/>
  <c r="D62" i="3"/>
  <c r="E62" i="3" s="1"/>
  <c r="G61" i="3"/>
  <c r="H61" i="3"/>
  <c r="A64" i="3"/>
  <c r="B63" i="3"/>
  <c r="F63" i="3" l="1"/>
  <c r="D63" i="3"/>
  <c r="E63" i="3" s="1"/>
  <c r="G62" i="3"/>
  <c r="H62" i="3"/>
  <c r="B64" i="3"/>
  <c r="A65" i="3"/>
  <c r="F64" i="3" l="1"/>
  <c r="D64" i="3"/>
  <c r="E64" i="3" s="1"/>
  <c r="H63" i="3"/>
  <c r="G63" i="3"/>
  <c r="A66" i="3"/>
  <c r="B65" i="3"/>
  <c r="F65" i="3" l="1"/>
  <c r="D65" i="3"/>
  <c r="E65" i="3" s="1"/>
  <c r="G64" i="3"/>
  <c r="H64" i="3"/>
  <c r="A67" i="3"/>
  <c r="B66" i="3"/>
  <c r="F66" i="3" l="1"/>
  <c r="D66" i="3"/>
  <c r="E66" i="3" s="1"/>
  <c r="H65" i="3"/>
  <c r="G65" i="3"/>
  <c r="B67" i="3"/>
  <c r="A68" i="3"/>
  <c r="F67" i="3" l="1"/>
  <c r="D67" i="3"/>
  <c r="E67" i="3" s="1"/>
  <c r="G66" i="3"/>
  <c r="H66" i="3"/>
  <c r="B68" i="3"/>
  <c r="A69" i="3"/>
  <c r="F68" i="3" l="1"/>
  <c r="D68" i="3"/>
  <c r="E68" i="3" s="1"/>
  <c r="H67" i="3"/>
  <c r="G67" i="3"/>
  <c r="B69" i="3"/>
  <c r="A70" i="3"/>
  <c r="G68" i="3" l="1"/>
  <c r="F69" i="3"/>
  <c r="D69" i="3"/>
  <c r="E69" i="3" s="1"/>
  <c r="H68" i="3"/>
  <c r="A71" i="3"/>
  <c r="B70" i="3"/>
  <c r="H69" i="3" l="1"/>
  <c r="F70" i="3"/>
  <c r="D70" i="3"/>
  <c r="E70" i="3" s="1"/>
  <c r="G69" i="3"/>
  <c r="A72" i="3"/>
  <c r="B71" i="3"/>
  <c r="H70" i="3" l="1"/>
  <c r="F71" i="3"/>
  <c r="D71" i="3"/>
  <c r="E71" i="3" s="1"/>
  <c r="G70" i="3"/>
  <c r="B72" i="3"/>
  <c r="A73" i="3"/>
  <c r="H71" i="3" l="1"/>
  <c r="F72" i="3"/>
  <c r="D72" i="3"/>
  <c r="E72" i="3" s="1"/>
  <c r="G71" i="3"/>
  <c r="A74" i="3"/>
  <c r="B73" i="3"/>
  <c r="F73" i="3" l="1"/>
  <c r="D73" i="3"/>
  <c r="E73" i="3" s="1"/>
  <c r="G72" i="3"/>
  <c r="H72" i="3"/>
  <c r="A75" i="3"/>
  <c r="B74" i="3"/>
  <c r="F74" i="3" l="1"/>
  <c r="D74" i="3"/>
  <c r="E74" i="3" s="1"/>
  <c r="G73" i="3"/>
  <c r="H73" i="3"/>
  <c r="A76" i="3"/>
  <c r="B75" i="3"/>
  <c r="H74" i="3" l="1"/>
  <c r="F75" i="3"/>
  <c r="D75" i="3"/>
  <c r="E75" i="3" s="1"/>
  <c r="G74" i="3"/>
  <c r="B76" i="3"/>
  <c r="A77" i="3"/>
  <c r="F76" i="3" l="1"/>
  <c r="D76" i="3"/>
  <c r="E76" i="3" s="1"/>
  <c r="G75" i="3"/>
  <c r="H75" i="3"/>
  <c r="B77" i="3"/>
  <c r="A78" i="3"/>
  <c r="H76" i="3" l="1"/>
  <c r="F77" i="3"/>
  <c r="D77" i="3"/>
  <c r="E77" i="3" s="1"/>
  <c r="G76" i="3"/>
  <c r="A79" i="3"/>
  <c r="B78" i="3"/>
  <c r="G77" i="3" l="1"/>
  <c r="F78" i="3"/>
  <c r="D78" i="3"/>
  <c r="E78" i="3" s="1"/>
  <c r="H77" i="3"/>
  <c r="A80" i="3"/>
  <c r="B79" i="3"/>
  <c r="F79" i="3" l="1"/>
  <c r="D79" i="3"/>
  <c r="E79" i="3" s="1"/>
  <c r="H78" i="3"/>
  <c r="G78" i="3"/>
  <c r="B80" i="3"/>
  <c r="A81" i="3"/>
  <c r="F80" i="3" l="1"/>
  <c r="D80" i="3"/>
  <c r="E80" i="3" s="1"/>
  <c r="H79" i="3"/>
  <c r="G79" i="3"/>
  <c r="A82" i="3"/>
  <c r="B81" i="3"/>
  <c r="F81" i="3" l="1"/>
  <c r="D81" i="3"/>
  <c r="E81" i="3" s="1"/>
  <c r="G80" i="3"/>
  <c r="H80" i="3"/>
  <c r="A83" i="3"/>
  <c r="B82" i="3"/>
  <c r="F82" i="3" l="1"/>
  <c r="D82" i="3"/>
  <c r="E82" i="3" s="1"/>
  <c r="G81" i="3"/>
  <c r="H81" i="3"/>
  <c r="A84" i="3"/>
  <c r="B83" i="3"/>
  <c r="F83" i="3" l="1"/>
  <c r="D83" i="3"/>
  <c r="E83" i="3" s="1"/>
  <c r="H82" i="3"/>
  <c r="G82" i="3"/>
  <c r="B84" i="3"/>
  <c r="A85" i="3"/>
  <c r="F84" i="3" l="1"/>
  <c r="D84" i="3"/>
  <c r="E84" i="3" s="1"/>
  <c r="H83" i="3"/>
  <c r="G83" i="3"/>
  <c r="A86" i="3"/>
  <c r="B85" i="3"/>
  <c r="F85" i="3" l="1"/>
  <c r="D85" i="3"/>
  <c r="E85" i="3" s="1"/>
  <c r="H84" i="3"/>
  <c r="G84" i="3"/>
  <c r="A87" i="3"/>
  <c r="B86" i="3"/>
  <c r="G85" i="3" l="1"/>
  <c r="F86" i="3"/>
  <c r="D86" i="3"/>
  <c r="E86" i="3" s="1"/>
  <c r="H85" i="3"/>
  <c r="A88" i="3"/>
  <c r="B87" i="3"/>
  <c r="F87" i="3" l="1"/>
  <c r="D87" i="3"/>
  <c r="E87" i="3" s="1"/>
  <c r="H86" i="3"/>
  <c r="B88" i="3"/>
  <c r="A89" i="3"/>
  <c r="G86" i="3"/>
  <c r="F88" i="3" l="1"/>
  <c r="D88" i="3"/>
  <c r="E88" i="3" s="1"/>
  <c r="H87" i="3"/>
  <c r="G87" i="3"/>
  <c r="A90" i="3"/>
  <c r="B89" i="3"/>
  <c r="H88" i="3" l="1"/>
  <c r="F89" i="3"/>
  <c r="D89" i="3"/>
  <c r="E89" i="3" s="1"/>
  <c r="G88" i="3"/>
  <c r="A91" i="3"/>
  <c r="B90" i="3"/>
  <c r="F90" i="3" l="1"/>
  <c r="D90" i="3"/>
  <c r="E90" i="3" s="1"/>
  <c r="G89" i="3"/>
  <c r="H89" i="3"/>
  <c r="B91" i="3"/>
  <c r="A92" i="3"/>
  <c r="F91" i="3" l="1"/>
  <c r="D91" i="3"/>
  <c r="E91" i="3" s="1"/>
  <c r="G90" i="3"/>
  <c r="H90" i="3"/>
  <c r="B92" i="3"/>
  <c r="A93" i="3"/>
  <c r="G91" i="3" l="1"/>
  <c r="F92" i="3"/>
  <c r="D92" i="3"/>
  <c r="E92" i="3" s="1"/>
  <c r="H91" i="3"/>
  <c r="A94" i="3"/>
  <c r="B93" i="3"/>
  <c r="F93" i="3" l="1"/>
  <c r="D93" i="3"/>
  <c r="E93" i="3" s="1"/>
  <c r="H92" i="3"/>
  <c r="G92" i="3"/>
  <c r="A95" i="3"/>
  <c r="B94" i="3"/>
  <c r="F94" i="3" l="1"/>
  <c r="D94" i="3"/>
  <c r="E94" i="3" s="1"/>
  <c r="H93" i="3"/>
  <c r="G93" i="3"/>
  <c r="A96" i="3"/>
  <c r="B95" i="3"/>
  <c r="F95" i="3" l="1"/>
  <c r="D95" i="3"/>
  <c r="E95" i="3" s="1"/>
  <c r="H94" i="3"/>
  <c r="G94" i="3"/>
  <c r="B96" i="3"/>
  <c r="A97" i="3"/>
  <c r="F96" i="3" l="1"/>
  <c r="D96" i="3"/>
  <c r="E96" i="3" s="1"/>
  <c r="H95" i="3"/>
  <c r="G95" i="3"/>
  <c r="A98" i="3"/>
  <c r="B97" i="3"/>
  <c r="F97" i="3" l="1"/>
  <c r="D97" i="3"/>
  <c r="E97" i="3" s="1"/>
  <c r="H96" i="3"/>
  <c r="G96" i="3"/>
  <c r="A99" i="3"/>
  <c r="B98" i="3"/>
  <c r="F98" i="3" l="1"/>
  <c r="D98" i="3"/>
  <c r="E98" i="3" s="1"/>
  <c r="H97" i="3"/>
  <c r="G97" i="3"/>
  <c r="A100" i="3"/>
  <c r="B99" i="3"/>
  <c r="F99" i="3" l="1"/>
  <c r="D99" i="3"/>
  <c r="E99" i="3" s="1"/>
  <c r="H98" i="3"/>
  <c r="B100" i="3"/>
  <c r="A101" i="3"/>
  <c r="G98" i="3"/>
  <c r="H99" i="3" l="1"/>
  <c r="F100" i="3"/>
  <c r="D100" i="3"/>
  <c r="E100" i="3" s="1"/>
  <c r="G99" i="3"/>
  <c r="A102" i="3"/>
  <c r="B101" i="3"/>
  <c r="F101" i="3" l="1"/>
  <c r="D101" i="3"/>
  <c r="E101" i="3" s="1"/>
  <c r="G100" i="3"/>
  <c r="H100" i="3"/>
  <c r="A103" i="3"/>
  <c r="B102" i="3"/>
  <c r="F102" i="3" l="1"/>
  <c r="D102" i="3"/>
  <c r="E102" i="3" s="1"/>
  <c r="H101" i="3"/>
  <c r="A104" i="3"/>
  <c r="B103" i="3"/>
  <c r="G101" i="3"/>
  <c r="F103" i="3" l="1"/>
  <c r="D103" i="3"/>
  <c r="E103" i="3" s="1"/>
  <c r="G102" i="3"/>
  <c r="H102" i="3"/>
  <c r="B104" i="3"/>
  <c r="A105" i="3"/>
  <c r="F104" i="3" l="1"/>
  <c r="D104" i="3"/>
  <c r="E104" i="3" s="1"/>
  <c r="G103" i="3"/>
  <c r="A106" i="3"/>
  <c r="B105" i="3"/>
  <c r="H103" i="3"/>
  <c r="F105" i="3" l="1"/>
  <c r="D105" i="3"/>
  <c r="E105" i="3" s="1"/>
  <c r="H104" i="3"/>
  <c r="G104" i="3"/>
  <c r="A107" i="3"/>
  <c r="B106" i="3"/>
  <c r="F106" i="3" l="1"/>
  <c r="D106" i="3"/>
  <c r="E106" i="3" s="1"/>
  <c r="G105" i="3"/>
  <c r="H105" i="3"/>
  <c r="B107" i="3"/>
  <c r="A108" i="3"/>
  <c r="F107" i="3" l="1"/>
  <c r="D107" i="3"/>
  <c r="E107" i="3" s="1"/>
  <c r="G106" i="3"/>
  <c r="H106" i="3"/>
  <c r="B108" i="3"/>
  <c r="A109" i="3"/>
  <c r="G107" i="3" l="1"/>
  <c r="F108" i="3"/>
  <c r="D108" i="3"/>
  <c r="E108" i="3" s="1"/>
  <c r="H107" i="3"/>
  <c r="A110" i="3"/>
  <c r="B109" i="3"/>
  <c r="G108" i="3" l="1"/>
  <c r="F109" i="3"/>
  <c r="D109" i="3"/>
  <c r="E109" i="3" s="1"/>
  <c r="H108" i="3"/>
  <c r="A111" i="3"/>
  <c r="B110" i="3"/>
  <c r="F110" i="3" l="1"/>
  <c r="D110" i="3"/>
  <c r="E110" i="3" s="1"/>
  <c r="H109" i="3"/>
  <c r="G109" i="3"/>
  <c r="A112" i="3"/>
  <c r="B111" i="3"/>
  <c r="F111" i="3" l="1"/>
  <c r="D111" i="3"/>
  <c r="E111" i="3" s="1"/>
  <c r="H110" i="3"/>
  <c r="G110" i="3"/>
  <c r="B112" i="3"/>
  <c r="F112" i="3" l="1"/>
  <c r="D112" i="3"/>
  <c r="E112" i="3" s="1"/>
  <c r="G111" i="3"/>
  <c r="H111" i="3"/>
  <c r="G112" i="3" l="1"/>
  <c r="H112" i="3"/>
</calcChain>
</file>

<file path=xl/comments1.xml><?xml version="1.0" encoding="utf-8"?>
<comments xmlns="http://schemas.openxmlformats.org/spreadsheetml/2006/main">
  <authors>
    <author>Bill LaPach</author>
  </authors>
  <commentList>
    <comment ref="D22" authorId="0" shapeId="0">
      <text>
        <r>
          <rPr>
            <b/>
            <sz val="9"/>
            <color indexed="81"/>
            <rFont val="Tahoma"/>
            <charset val="1"/>
          </rPr>
          <t>Bill LaPach:</t>
        </r>
        <r>
          <rPr>
            <sz val="9"/>
            <color indexed="81"/>
            <rFont val="Tahoma"/>
            <charset val="1"/>
          </rPr>
          <t xml:space="preserve">
Formula waits until end of failure free time (upsilon) to turn on the Weibull algorithm for the failure mechnism maturity.</t>
        </r>
      </text>
    </comment>
    <comment ref="E22" authorId="0" shapeId="0">
      <text>
        <r>
          <rPr>
            <b/>
            <sz val="9"/>
            <color indexed="81"/>
            <rFont val="Tahoma"/>
            <charset val="1"/>
          </rPr>
          <t>Bill LaPach:</t>
        </r>
        <r>
          <rPr>
            <sz val="9"/>
            <color indexed="81"/>
            <rFont val="Tahoma"/>
            <charset val="1"/>
          </rPr>
          <t xml:space="preserve">
Formula waits until end of failure free time (upsilon) then turns on commulative function (accumulates FM PDF) and caps at 1.0 after FM maturity.
</t>
        </r>
      </text>
    </comment>
    <comment ref="F22" authorId="0" shapeId="0">
      <text>
        <r>
          <rPr>
            <b/>
            <sz val="9"/>
            <color indexed="81"/>
            <rFont val="Tahoma"/>
            <charset val="1"/>
          </rPr>
          <t>Bill LaPach:</t>
        </r>
        <r>
          <rPr>
            <sz val="9"/>
            <color indexed="81"/>
            <rFont val="Tahoma"/>
            <charset val="1"/>
          </rPr>
          <t xml:space="preserve">
Formula repeats FM PDF delayed by Operational Margin.</t>
        </r>
      </text>
    </comment>
    <comment ref="G22" authorId="0" shapeId="0">
      <text>
        <r>
          <rPr>
            <b/>
            <sz val="9"/>
            <color indexed="81"/>
            <rFont val="Tahoma"/>
            <charset val="1"/>
          </rPr>
          <t>Bill LaPach:</t>
        </r>
        <r>
          <rPr>
            <sz val="9"/>
            <color indexed="81"/>
            <rFont val="Tahoma"/>
            <charset val="1"/>
          </rPr>
          <t xml:space="preserve">
Formula waits until end of failure free time (upsilon) plus Operational Margin time (margin) then turns on commulative function (accumulates) Risk to Ops PDF and caps at 1.0 after  risk maturity.
</t>
        </r>
      </text>
    </comment>
    <comment ref="H22" authorId="0" shapeId="0">
      <text>
        <r>
          <rPr>
            <b/>
            <sz val="9"/>
            <color indexed="81"/>
            <rFont val="Tahoma"/>
            <charset val="1"/>
          </rPr>
          <t>Bill LaPach:</t>
        </r>
        <r>
          <rPr>
            <sz val="9"/>
            <color indexed="81"/>
            <rFont val="Tahoma"/>
            <charset val="1"/>
          </rPr>
          <t xml:space="preserve">
This formula assumes the Allocated Reliability given until failure free period plus operational margin time ends then degrades the Estimated Reliability by the amount of Risk to Ops PDF (pre margin) until degraded to zero.
Note: the Estimated Reliability assumes a delayed degradation by the amount of Operational Margin. </t>
        </r>
      </text>
    </comment>
  </commentList>
</comments>
</file>

<file path=xl/sharedStrings.xml><?xml version="1.0" encoding="utf-8"?>
<sst xmlns="http://schemas.openxmlformats.org/spreadsheetml/2006/main" count="26" uniqueCount="26">
  <si>
    <t>upsilon</t>
  </si>
  <si>
    <t>eta</t>
  </si>
  <si>
    <t>beta</t>
  </si>
  <si>
    <t>http://reliawiki.org/index.php/The_Weibull_Distribution</t>
  </si>
  <si>
    <t xml:space="preserve">(shape parameter - or slope) 
</t>
  </si>
  <si>
    <t>Weibull pdf (3 parameter)</t>
  </si>
  <si>
    <t>Time period (yrs)</t>
  </si>
  <si>
    <t>mfr date</t>
  </si>
  <si>
    <t>Operational Margin (years) =</t>
  </si>
  <si>
    <t>Risk to Ops PDF</t>
  </si>
  <si>
    <t>(delay between test PDF and operational performance PDF)</t>
  </si>
  <si>
    <t>Location rationale: Location set to align with increase in actual failure mechanism maturity.</t>
  </si>
  <si>
    <t>Allocated Reliability</t>
  </si>
  <si>
    <t>(scale parameter - median life of failure mechanism maturity cycle)</t>
  </si>
  <si>
    <t>Risk to Ops CDF</t>
  </si>
  <si>
    <t>FM CDF</t>
  </si>
  <si>
    <t>Failure Mechanism PDF</t>
  </si>
  <si>
    <t>SLE Year</t>
  </si>
  <si>
    <t>SLE Sensitivity (% degrade)</t>
  </si>
  <si>
    <t>TITLE:  Power Distribution Junction Box (J-Box) Service Life Estimate Calculations</t>
  </si>
  <si>
    <r>
      <t xml:space="preserve">(location parameter - or failure free life) </t>
    </r>
    <r>
      <rPr>
        <sz val="11"/>
        <color rgb="FFFF0000"/>
        <rFont val="Calibri"/>
        <family val="2"/>
        <scheme val="minor"/>
      </rPr>
      <t>[ NLT 1 ]</t>
    </r>
  </si>
  <si>
    <t xml:space="preserve">Scale rationale: scale manually adjusted to fit stranded wire corrosion full maturity of 40 years.  </t>
  </si>
  <si>
    <t>Shape rationale:  Beta of 4.8 chosen to fit the combination of depot repair failure rates (FY12 &amp; FY15) matched to failure mechanism CDF, and no operational failures as of FY16 flight tests.</t>
  </si>
  <si>
    <t>References:     1) Depot repair shop Level III Test Number 1101 measurements.    2) Field unit Level I Test Number 840 measurements.     3) SME inputs from SNL and AFRL confirm characteristics of the suspect corrosion.     4) Research on copper splice corrosion.    
5) MIL-HDBK-217B</t>
  </si>
  <si>
    <t>Estimated Reliablility</t>
  </si>
  <si>
    <t>Assumptions: Main failure mechanism of concern is corrosion in a stranded copper wire splice.  Boeing (ALCM OEM) provided very conservative "risk to operational performance" voltage-drop threshold of 2 volts for calculations (revised in July 2016 to 2.5 volts).  Trend in Level I tests indicates a .069 volts/year trend for voltage drop across the CR4 Diode Assembly (contains the spilce).  Operational margin is revised from the original 13 years to 20 years based on 2.5 volt threshold margin for CR4.  Copper splice corrosion full maturity = 40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</si>
</sst>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
    <numFmt numFmtId="165" formatCode="0.000"/>
    <numFmt numFmtId="166" formatCode="0.0%"/>
    <numFmt numFmtId="167" formatCode="0.00000"/>
  </numFmts>
  <fonts count="11" x14ac:knownFonts="1">
    <font>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6"/>
      <color rgb="FF0070C0"/>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C000"/>
        <bgColor indexed="64"/>
      </patternFill>
    </fill>
  </fills>
  <borders count="4">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0" fillId="0" borderId="0" xfId="0" quotePrefix="1"/>
    <xf numFmtId="0" fontId="0" fillId="2" borderId="0" xfId="0" applyFill="1"/>
    <xf numFmtId="0" fontId="0" fillId="3" borderId="0" xfId="0" applyFill="1"/>
    <xf numFmtId="0" fontId="0" fillId="0" borderId="0" xfId="0" quotePrefix="1" applyAlignment="1"/>
    <xf numFmtId="0" fontId="0" fillId="0" borderId="0" xfId="0" applyAlignment="1"/>
    <xf numFmtId="0" fontId="1" fillId="0" borderId="0" xfId="1"/>
    <xf numFmtId="164" fontId="0" fillId="0" borderId="0" xfId="0" applyNumberFormat="1" applyAlignment="1">
      <alignment horizontal="right"/>
    </xf>
    <xf numFmtId="0" fontId="0" fillId="0" borderId="0" xfId="0" applyAlignment="1">
      <alignment horizontal="right"/>
    </xf>
    <xf numFmtId="0" fontId="2" fillId="2" borderId="0" xfId="0" quotePrefix="1" applyFont="1" applyFill="1"/>
    <xf numFmtId="0" fontId="0" fillId="0" borderId="0" xfId="0" applyAlignment="1">
      <alignment horizontal="center"/>
    </xf>
    <xf numFmtId="165" fontId="0" fillId="0" borderId="0" xfId="0" applyNumberFormat="1"/>
    <xf numFmtId="165" fontId="0" fillId="0" borderId="0" xfId="0" applyNumberFormat="1" applyAlignment="1">
      <alignment horizontal="right"/>
    </xf>
    <xf numFmtId="165" fontId="0" fillId="0" borderId="0" xfId="0" quotePrefix="1" applyNumberFormat="1"/>
    <xf numFmtId="1" fontId="0" fillId="2" borderId="0" xfId="0" applyNumberFormat="1" applyFill="1" applyAlignment="1">
      <alignment horizontal="center"/>
    </xf>
    <xf numFmtId="165" fontId="0" fillId="5" borderId="0" xfId="0" applyNumberFormat="1" applyFill="1"/>
    <xf numFmtId="0" fontId="0" fillId="5" borderId="0" xfId="0" applyFill="1"/>
    <xf numFmtId="165" fontId="0" fillId="5" borderId="0" xfId="0" quotePrefix="1" applyNumberFormat="1" applyFill="1" applyAlignment="1">
      <alignment horizontal="right"/>
    </xf>
    <xf numFmtId="0" fontId="0" fillId="0" borderId="0" xfId="0" applyFill="1"/>
    <xf numFmtId="165" fontId="0" fillId="0" borderId="0" xfId="0" applyNumberFormat="1" applyFill="1"/>
    <xf numFmtId="167" fontId="0" fillId="0" borderId="0" xfId="0" applyNumberFormat="1" applyFill="1"/>
    <xf numFmtId="0" fontId="4"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left" vertical="center"/>
    </xf>
    <xf numFmtId="0" fontId="7" fillId="0" borderId="0" xfId="0" applyFont="1" applyAlignment="1">
      <alignment horizontal="left"/>
    </xf>
    <xf numFmtId="167" fontId="0" fillId="0" borderId="0" xfId="0" applyNumberFormat="1" applyAlignment="1"/>
    <xf numFmtId="167" fontId="0" fillId="0" borderId="0" xfId="0" applyNumberFormat="1" applyFill="1" applyAlignment="1"/>
    <xf numFmtId="0" fontId="8" fillId="0" borderId="0" xfId="0" applyFont="1" applyAlignment="1">
      <alignment horizontal="left" vertical="center"/>
    </xf>
    <xf numFmtId="0" fontId="4" fillId="0" borderId="0" xfId="0" applyFont="1" applyAlignment="1">
      <alignment horizontal="left" vertical="center"/>
    </xf>
    <xf numFmtId="0" fontId="5" fillId="4" borderId="2" xfId="0" applyFont="1" applyFill="1" applyBorder="1" applyAlignment="1">
      <alignment horizontal="left" vertical="center" wrapText="1"/>
    </xf>
    <xf numFmtId="0" fontId="0" fillId="4" borderId="3"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0" borderId="3" xfId="0" applyFont="1" applyBorder="1" applyAlignment="1">
      <alignment horizontal="left" vertical="center" wrapText="1"/>
    </xf>
    <xf numFmtId="0" fontId="0" fillId="0" borderId="1" xfId="0" applyFont="1" applyBorder="1" applyAlignment="1">
      <alignment horizontal="left" vertical="center" wrapText="1"/>
    </xf>
    <xf numFmtId="0" fontId="4" fillId="0" borderId="0" xfId="0" applyFont="1" applyFill="1" applyAlignment="1">
      <alignment horizontal="left" vertical="center" wrapText="1"/>
    </xf>
    <xf numFmtId="0" fontId="0" fillId="0" borderId="0" xfId="0" applyFill="1" applyAlignment="1">
      <alignment horizontal="left" vertical="center" wrapText="1"/>
    </xf>
    <xf numFmtId="0" fontId="0" fillId="2" borderId="0" xfId="0" applyFill="1" applyAlignment="1">
      <alignment horizontal="center"/>
    </xf>
    <xf numFmtId="166" fontId="0" fillId="6" borderId="0" xfId="0" applyNumberFormat="1" applyFill="1" applyAlignment="1">
      <alignment horizontal="center"/>
    </xf>
    <xf numFmtId="1" fontId="0" fillId="6" borderId="0" xfId="0" applyNumberForma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77078051147322"/>
          <c:y val="4.1693267932278608E-2"/>
          <c:w val="0.72219880560273952"/>
          <c:h val="0.78025459632607297"/>
        </c:manualLayout>
      </c:layout>
      <c:lineChart>
        <c:grouping val="standard"/>
        <c:varyColors val="0"/>
        <c:ser>
          <c:idx val="3"/>
          <c:order val="1"/>
          <c:tx>
            <c:strRef>
              <c:f>'Failure Mode Effects Model'!$H$22</c:f>
              <c:strCache>
                <c:ptCount val="1"/>
                <c:pt idx="0">
                  <c:v>Estimated Reliablility</c:v>
                </c:pt>
              </c:strCache>
            </c:strRef>
          </c:tx>
          <c:cat>
            <c:numRef>
              <c:f>'Failure Mode Effects Model'!$A$23:$A$112</c:f>
              <c:numCache>
                <c:formatCode>General</c:formatCode>
                <c:ptCount val="90"/>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2027</c:v>
                </c:pt>
                <c:pt idx="43">
                  <c:v>2028</c:v>
                </c:pt>
                <c:pt idx="44">
                  <c:v>2029</c:v>
                </c:pt>
                <c:pt idx="45">
                  <c:v>2030</c:v>
                </c:pt>
                <c:pt idx="46">
                  <c:v>2031</c:v>
                </c:pt>
                <c:pt idx="47">
                  <c:v>2032</c:v>
                </c:pt>
                <c:pt idx="48">
                  <c:v>2033</c:v>
                </c:pt>
                <c:pt idx="49">
                  <c:v>2034</c:v>
                </c:pt>
                <c:pt idx="50">
                  <c:v>2035</c:v>
                </c:pt>
                <c:pt idx="51">
                  <c:v>2036</c:v>
                </c:pt>
                <c:pt idx="52">
                  <c:v>2037</c:v>
                </c:pt>
                <c:pt idx="53">
                  <c:v>2038</c:v>
                </c:pt>
                <c:pt idx="54">
                  <c:v>2039</c:v>
                </c:pt>
                <c:pt idx="55">
                  <c:v>2040</c:v>
                </c:pt>
                <c:pt idx="56">
                  <c:v>2041</c:v>
                </c:pt>
                <c:pt idx="57">
                  <c:v>2042</c:v>
                </c:pt>
                <c:pt idx="58">
                  <c:v>2043</c:v>
                </c:pt>
                <c:pt idx="59">
                  <c:v>2044</c:v>
                </c:pt>
                <c:pt idx="60">
                  <c:v>2045</c:v>
                </c:pt>
                <c:pt idx="61">
                  <c:v>2046</c:v>
                </c:pt>
                <c:pt idx="62">
                  <c:v>2047</c:v>
                </c:pt>
                <c:pt idx="63">
                  <c:v>2048</c:v>
                </c:pt>
                <c:pt idx="64">
                  <c:v>2049</c:v>
                </c:pt>
                <c:pt idx="65">
                  <c:v>2050</c:v>
                </c:pt>
                <c:pt idx="66">
                  <c:v>2051</c:v>
                </c:pt>
                <c:pt idx="67">
                  <c:v>2052</c:v>
                </c:pt>
                <c:pt idx="68">
                  <c:v>2053</c:v>
                </c:pt>
                <c:pt idx="69">
                  <c:v>2054</c:v>
                </c:pt>
                <c:pt idx="70">
                  <c:v>2055</c:v>
                </c:pt>
                <c:pt idx="71">
                  <c:v>2056</c:v>
                </c:pt>
                <c:pt idx="72">
                  <c:v>2057</c:v>
                </c:pt>
                <c:pt idx="73">
                  <c:v>2058</c:v>
                </c:pt>
                <c:pt idx="74">
                  <c:v>2059</c:v>
                </c:pt>
                <c:pt idx="75">
                  <c:v>2060</c:v>
                </c:pt>
                <c:pt idx="76">
                  <c:v>2061</c:v>
                </c:pt>
                <c:pt idx="77">
                  <c:v>2062</c:v>
                </c:pt>
                <c:pt idx="78">
                  <c:v>2063</c:v>
                </c:pt>
                <c:pt idx="79">
                  <c:v>2064</c:v>
                </c:pt>
                <c:pt idx="80">
                  <c:v>2065</c:v>
                </c:pt>
                <c:pt idx="81">
                  <c:v>2066</c:v>
                </c:pt>
                <c:pt idx="82">
                  <c:v>2067</c:v>
                </c:pt>
                <c:pt idx="83">
                  <c:v>2068</c:v>
                </c:pt>
                <c:pt idx="84">
                  <c:v>2069</c:v>
                </c:pt>
                <c:pt idx="85">
                  <c:v>2070</c:v>
                </c:pt>
                <c:pt idx="86">
                  <c:v>2071</c:v>
                </c:pt>
                <c:pt idx="87">
                  <c:v>2072</c:v>
                </c:pt>
                <c:pt idx="88">
                  <c:v>2073</c:v>
                </c:pt>
                <c:pt idx="89">
                  <c:v>2074</c:v>
                </c:pt>
              </c:numCache>
            </c:numRef>
          </c:cat>
          <c:val>
            <c:numRef>
              <c:f>'Failure Mode Effects Model'!$H$23:$H$112</c:f>
              <c:numCache>
                <c:formatCode>0.00000</c:formatCode>
                <c:ptCount val="90"/>
                <c:pt idx="0">
                  <c:v>0.999</c:v>
                </c:pt>
                <c:pt idx="1">
                  <c:v>0.999</c:v>
                </c:pt>
                <c:pt idx="2">
                  <c:v>0.999</c:v>
                </c:pt>
                <c:pt idx="3">
                  <c:v>0.999</c:v>
                </c:pt>
                <c:pt idx="4">
                  <c:v>0.999</c:v>
                </c:pt>
                <c:pt idx="5">
                  <c:v>0.999</c:v>
                </c:pt>
                <c:pt idx="6">
                  <c:v>0.999</c:v>
                </c:pt>
                <c:pt idx="7">
                  <c:v>0.999</c:v>
                </c:pt>
                <c:pt idx="8">
                  <c:v>0.999</c:v>
                </c:pt>
                <c:pt idx="9">
                  <c:v>0.999</c:v>
                </c:pt>
                <c:pt idx="10">
                  <c:v>0.999</c:v>
                </c:pt>
                <c:pt idx="11">
                  <c:v>0.999</c:v>
                </c:pt>
                <c:pt idx="12">
                  <c:v>0.999</c:v>
                </c:pt>
                <c:pt idx="13">
                  <c:v>0.999</c:v>
                </c:pt>
                <c:pt idx="14">
                  <c:v>0.999</c:v>
                </c:pt>
                <c:pt idx="15">
                  <c:v>0.999</c:v>
                </c:pt>
                <c:pt idx="16">
                  <c:v>0.999</c:v>
                </c:pt>
                <c:pt idx="17">
                  <c:v>0.999</c:v>
                </c:pt>
                <c:pt idx="18">
                  <c:v>0.999</c:v>
                </c:pt>
                <c:pt idx="19">
                  <c:v>0.999</c:v>
                </c:pt>
                <c:pt idx="20">
                  <c:v>0.999</c:v>
                </c:pt>
                <c:pt idx="21">
                  <c:v>0.999</c:v>
                </c:pt>
                <c:pt idx="22">
                  <c:v>0.999</c:v>
                </c:pt>
                <c:pt idx="23">
                  <c:v>0.999</c:v>
                </c:pt>
                <c:pt idx="24">
                  <c:v>0.999</c:v>
                </c:pt>
                <c:pt idx="25">
                  <c:v>0.999</c:v>
                </c:pt>
                <c:pt idx="26">
                  <c:v>0.999</c:v>
                </c:pt>
                <c:pt idx="27">
                  <c:v>0.999</c:v>
                </c:pt>
                <c:pt idx="28">
                  <c:v>0.999</c:v>
                </c:pt>
                <c:pt idx="29">
                  <c:v>0.999</c:v>
                </c:pt>
                <c:pt idx="30">
                  <c:v>0.999</c:v>
                </c:pt>
                <c:pt idx="31">
                  <c:v>0.9989834344703743</c:v>
                </c:pt>
                <c:pt idx="32">
                  <c:v>0.99878939534800504</c:v>
                </c:pt>
                <c:pt idx="33">
                  <c:v>0.99808535791471087</c:v>
                </c:pt>
                <c:pt idx="34">
                  <c:v>0.99639098429913986</c:v>
                </c:pt>
                <c:pt idx="35">
                  <c:v>0.99309377106314523</c:v>
                </c:pt>
                <c:pt idx="36">
                  <c:v>0.98746596456879565</c:v>
                </c:pt>
                <c:pt idx="37">
                  <c:v>0.97868710319644747</c:v>
                </c:pt>
                <c:pt idx="38">
                  <c:v>0.96587549825323504</c:v>
                </c:pt>
                <c:pt idx="39">
                  <c:v>0.94813125730748471</c:v>
                </c:pt>
                <c:pt idx="40">
                  <c:v>0.92459242955483489</c:v>
                </c:pt>
                <c:pt idx="41">
                  <c:v>0.89450425404262568</c:v>
                </c:pt>
                <c:pt idx="42">
                  <c:v>0.8572992127898994</c:v>
                </c:pt>
                <c:pt idx="43">
                  <c:v>0.81268269042153951</c:v>
                </c:pt>
                <c:pt idx="44">
                  <c:v>0.76071579880152496</c:v>
                </c:pt>
                <c:pt idx="45">
                  <c:v>0.70188388555274761</c:v>
                </c:pt>
                <c:pt idx="46">
                  <c:v>0.6371372160968054</c:v>
                </c:pt>
                <c:pt idx="47">
                  <c:v>0.56789026473625492</c:v>
                </c:pt>
                <c:pt idx="48">
                  <c:v>0.49596886812724911</c:v>
                </c:pt>
                <c:pt idx="49">
                  <c:v>0.42350067420796933</c:v>
                </c:pt>
                <c:pt idx="50">
                  <c:v>0.35275356521801171</c:v>
                </c:pt>
                <c:pt idx="51">
                  <c:v>0.28593768498599093</c:v>
                </c:pt>
                <c:pt idx="52">
                  <c:v>0.22499694054133948</c:v>
                </c:pt>
                <c:pt idx="53">
                  <c:v>0.1714223409080155</c:v>
                </c:pt>
                <c:pt idx="54">
                  <c:v>0.12611951500726068</c:v>
                </c:pt>
                <c:pt idx="55">
                  <c:v>8.9354839309364192E-2</c:v>
                </c:pt>
                <c:pt idx="56">
                  <c:v>6.0789738825246964E-2</c:v>
                </c:pt>
                <c:pt idx="57">
                  <c:v>3.959435521047399E-2</c:v>
                </c:pt>
                <c:pt idx="58">
                  <c:v>2.4615041490677871E-2</c:v>
                </c:pt>
                <c:pt idx="59">
                  <c:v>1.456012172301604E-2</c:v>
                </c:pt>
                <c:pt idx="60">
                  <c:v>8.1680606677956222E-3</c:v>
                </c:pt>
                <c:pt idx="61">
                  <c:v>4.3312628479992175E-3</c:v>
                </c:pt>
                <c:pt idx="62">
                  <c:v>2.1635344457384435E-3</c:v>
                </c:pt>
                <c:pt idx="63">
                  <c:v>1.0144693585138734E-3</c:v>
                </c:pt>
                <c:pt idx="64">
                  <c:v>4.4491013831416586E-4</c:v>
                </c:pt>
                <c:pt idx="65">
                  <c:v>1.8182625610818685E-4</c:v>
                </c:pt>
                <c:pt idx="66">
                  <c:v>6.8983375474838274E-5</c:v>
                </c:pt>
                <c:pt idx="67">
                  <c:v>2.4201751909333781E-5</c:v>
                </c:pt>
                <c:pt idx="68">
                  <c:v>7.8203562305579198E-6</c:v>
                </c:pt>
                <c:pt idx="69">
                  <c:v>2.3177789928702909E-6</c:v>
                </c:pt>
                <c:pt idx="70">
                  <c:v>6.2716635677431542E-7</c:v>
                </c:pt>
                <c:pt idx="71">
                  <c:v>1.539675665251545E-7</c:v>
                </c:pt>
                <c:pt idx="72">
                  <c:v>3.3800812851796296E-8</c:v>
                </c:pt>
                <c:pt idx="73">
                  <c:v>6.2301557624057068E-9</c:v>
                </c:pt>
                <c:pt idx="74">
                  <c:v>5.3933945251585221E-10</c:v>
                </c:pt>
                <c:pt idx="75">
                  <c:v>-5.1279521045162933E-10</c:v>
                </c:pt>
                <c:pt idx="76">
                  <c:v>-6.8625726155689635E-10</c:v>
                </c:pt>
                <c:pt idx="77">
                  <c:v>-7.116438213923591E-10</c:v>
                </c:pt>
                <c:pt idx="78">
                  <c:v>-7.149267570418803E-10</c:v>
                </c:pt>
                <c:pt idx="79">
                  <c:v>-7.1530012436653107E-10</c:v>
                </c:pt>
                <c:pt idx="80">
                  <c:v>-7.1533729034621692E-10</c:v>
                </c:pt>
                <c:pt idx="81">
                  <c:v>-7.1534051270590779E-10</c:v>
                </c:pt>
                <c:pt idx="82">
                  <c:v>-7.1534075484758917E-10</c:v>
                </c:pt>
                <c:pt idx="83">
                  <c:v>-7.1534077053836859E-10</c:v>
                </c:pt>
                <c:pt idx="84">
                  <c:v>-7.1534077141068855E-10</c:v>
                </c:pt>
                <c:pt idx="85">
                  <c:v>-7.1534077145207943E-10</c:v>
                </c:pt>
                <c:pt idx="86">
                  <c:v>-7.1534077145374682E-10</c:v>
                </c:pt>
                <c:pt idx="87">
                  <c:v>-7.1534077145380358E-10</c:v>
                </c:pt>
                <c:pt idx="88">
                  <c:v>-7.1534077145380524E-10</c:v>
                </c:pt>
                <c:pt idx="89">
                  <c:v>-7.1534077145380524E-10</c:v>
                </c:pt>
              </c:numCache>
            </c:numRef>
          </c:val>
          <c:smooth val="0"/>
        </c:ser>
        <c:ser>
          <c:idx val="1"/>
          <c:order val="2"/>
          <c:tx>
            <c:strRef>
              <c:f>'Failure Mode Effects Model'!$G$22</c:f>
              <c:strCache>
                <c:ptCount val="1"/>
                <c:pt idx="0">
                  <c:v>Risk to Ops CDF</c:v>
                </c:pt>
              </c:strCache>
            </c:strRef>
          </c:tx>
          <c:val>
            <c:numRef>
              <c:f>'Failure Mode Effects Model'!$G$23:$G$112</c:f>
              <c:numCache>
                <c:formatCode>0.00000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1.658211173745665E-5</c:v>
                </c:pt>
                <c:pt idx="32">
                  <c:v>2.1081546746244245E-4</c:v>
                </c:pt>
                <c:pt idx="33">
                  <c:v>9.1555764293210773E-4</c:v>
                </c:pt>
                <c:pt idx="34">
                  <c:v>2.6116273281883654E-3</c:v>
                </c:pt>
                <c:pt idx="35">
                  <c:v>5.9121410779327749E-3</c:v>
                </c:pt>
                <c:pt idx="36">
                  <c:v>1.154558101221663E-2</c:v>
                </c:pt>
                <c:pt idx="37">
                  <c:v>2.0333230033586148E-2</c:v>
                </c:pt>
                <c:pt idx="38">
                  <c:v>3.3157659406171179E-2</c:v>
                </c:pt>
                <c:pt idx="39">
                  <c:v>5.0919662354870221E-2</c:v>
                </c:pt>
                <c:pt idx="40">
                  <c:v>7.4482052497662821E-2</c:v>
                </c:pt>
                <c:pt idx="41">
                  <c:v>0.10460034630367804</c:v>
                </c:pt>
                <c:pt idx="42">
                  <c:v>0.14184262983994053</c:v>
                </c:pt>
                <c:pt idx="43">
                  <c:v>0.18650381339185237</c:v>
                </c:pt>
                <c:pt idx="44">
                  <c:v>0.23852272392239748</c:v>
                </c:pt>
                <c:pt idx="45">
                  <c:v>0.29741352797522769</c:v>
                </c:pt>
                <c:pt idx="46">
                  <c:v>0.36222500891210674</c:v>
                </c:pt>
                <c:pt idx="47">
                  <c:v>0.43154127654028546</c:v>
                </c:pt>
                <c:pt idx="48">
                  <c:v>0.50353466653929035</c:v>
                </c:pt>
                <c:pt idx="49">
                  <c:v>0.57607540119322409</c:v>
                </c:pt>
                <c:pt idx="50">
                  <c:v>0.64689332811009859</c:v>
                </c:pt>
                <c:pt idx="51">
                  <c:v>0.71377609110511442</c:v>
                </c:pt>
                <c:pt idx="52">
                  <c:v>0.77477783729595673</c:v>
                </c:pt>
                <c:pt idx="53">
                  <c:v>0.82840606515714188</c:v>
                </c:pt>
                <c:pt idx="54">
                  <c:v>0.87375423923197149</c:v>
                </c:pt>
                <c:pt idx="55">
                  <c:v>0.91055571640704303</c:v>
                </c:pt>
                <c:pt idx="56">
                  <c:v>0.93914941058533852</c:v>
                </c:pt>
                <c:pt idx="57">
                  <c:v>0.96036601080032646</c:v>
                </c:pt>
                <c:pt idx="58">
                  <c:v>0.97536031882815044</c:v>
                </c:pt>
                <c:pt idx="59">
                  <c:v>0.98542530358056468</c:v>
                </c:pt>
                <c:pt idx="60">
                  <c:v>0.99182376309529985</c:v>
                </c:pt>
                <c:pt idx="61">
                  <c:v>0.99566440155355451</c:v>
                </c:pt>
                <c:pt idx="62">
                  <c:v>0.99783429985411587</c:v>
                </c:pt>
                <c:pt idx="63">
                  <c:v>0.99898451515664299</c:v>
                </c:pt>
                <c:pt idx="64">
                  <c:v>0.99955464450619225</c:v>
                </c:pt>
                <c:pt idx="65">
                  <c:v>0.99981799173562769</c:v>
                </c:pt>
                <c:pt idx="66">
                  <c:v>0.99993094757209755</c:v>
                </c:pt>
                <c:pt idx="67">
                  <c:v>0.99997577402211302</c:v>
                </c:pt>
                <c:pt idx="68">
                  <c:v>0.99999217181558531</c:v>
                </c:pt>
                <c:pt idx="69">
                  <c:v>0.99999767990090827</c:v>
                </c:pt>
                <c:pt idx="70">
                  <c:v>0.99999937220584934</c:v>
                </c:pt>
                <c:pt idx="71">
                  <c:v>0.99999984587831203</c:v>
                </c:pt>
                <c:pt idx="72">
                  <c:v>0.99999996616535269</c:v>
                </c:pt>
                <c:pt idx="73">
                  <c:v>0.99999999376360804</c:v>
                </c:pt>
                <c:pt idx="74">
                  <c:v>0.99999999946012086</c:v>
                </c:pt>
                <c:pt idx="75">
                  <c:v>1.0000000005133087</c:v>
                </c:pt>
                <c:pt idx="76">
                  <c:v>1.0000000006869445</c:v>
                </c:pt>
                <c:pt idx="77">
                  <c:v>1.0000000007123564</c:v>
                </c:pt>
                <c:pt idx="78">
                  <c:v>1.0000000007156427</c:v>
                </c:pt>
                <c:pt idx="79">
                  <c:v>1.0000000007160164</c:v>
                </c:pt>
                <c:pt idx="80">
                  <c:v>1.0000000007160537</c:v>
                </c:pt>
                <c:pt idx="81">
                  <c:v>1.000000000716057</c:v>
                </c:pt>
                <c:pt idx="82">
                  <c:v>1.0000000007160572</c:v>
                </c:pt>
                <c:pt idx="83">
                  <c:v>1.0000000007160572</c:v>
                </c:pt>
                <c:pt idx="84">
                  <c:v>1.0000000007160572</c:v>
                </c:pt>
                <c:pt idx="85">
                  <c:v>1.0000000007160572</c:v>
                </c:pt>
                <c:pt idx="86">
                  <c:v>1.0000000007160572</c:v>
                </c:pt>
                <c:pt idx="87">
                  <c:v>1.0000000007160572</c:v>
                </c:pt>
                <c:pt idx="88">
                  <c:v>1.0000000007160572</c:v>
                </c:pt>
                <c:pt idx="89">
                  <c:v>1.0000000007160572</c:v>
                </c:pt>
              </c:numCache>
            </c:numRef>
          </c:val>
          <c:smooth val="0"/>
        </c:ser>
        <c:dLbls>
          <c:showLegendKey val="0"/>
          <c:showVal val="0"/>
          <c:showCatName val="0"/>
          <c:showSerName val="0"/>
          <c:showPercent val="0"/>
          <c:showBubbleSize val="0"/>
        </c:dLbls>
        <c:marker val="1"/>
        <c:smooth val="0"/>
        <c:axId val="314483600"/>
        <c:axId val="314483992"/>
        <c:extLst/>
      </c:lineChart>
      <c:lineChart>
        <c:grouping val="standard"/>
        <c:varyColors val="0"/>
        <c:ser>
          <c:idx val="0"/>
          <c:order val="0"/>
          <c:tx>
            <c:strRef>
              <c:f>'Failure Mode Effects Model'!$D$22</c:f>
              <c:strCache>
                <c:ptCount val="1"/>
                <c:pt idx="0">
                  <c:v>Failure Mechanism PDF</c:v>
                </c:pt>
              </c:strCache>
              <c:extLst xmlns:c15="http://schemas.microsoft.com/office/drawing/2012/chart"/>
            </c:strRef>
          </c:tx>
          <c:cat>
            <c:numRef>
              <c:f>'Failure Mode Effects Model'!$A$52:$A$112</c:f>
              <c:numCache>
                <c:formatCode>General</c:formatCode>
                <c:ptCount val="61"/>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pt idx="27">
                  <c:v>2041</c:v>
                </c:pt>
                <c:pt idx="28">
                  <c:v>2042</c:v>
                </c:pt>
                <c:pt idx="29">
                  <c:v>2043</c:v>
                </c:pt>
                <c:pt idx="30">
                  <c:v>2044</c:v>
                </c:pt>
                <c:pt idx="31">
                  <c:v>2045</c:v>
                </c:pt>
                <c:pt idx="32">
                  <c:v>2046</c:v>
                </c:pt>
                <c:pt idx="33">
                  <c:v>2047</c:v>
                </c:pt>
                <c:pt idx="34">
                  <c:v>2048</c:v>
                </c:pt>
                <c:pt idx="35">
                  <c:v>2049</c:v>
                </c:pt>
                <c:pt idx="36">
                  <c:v>2050</c:v>
                </c:pt>
                <c:pt idx="37">
                  <c:v>2051</c:v>
                </c:pt>
                <c:pt idx="38">
                  <c:v>2052</c:v>
                </c:pt>
                <c:pt idx="39">
                  <c:v>2053</c:v>
                </c:pt>
                <c:pt idx="40">
                  <c:v>2054</c:v>
                </c:pt>
                <c:pt idx="41">
                  <c:v>2055</c:v>
                </c:pt>
                <c:pt idx="42">
                  <c:v>2056</c:v>
                </c:pt>
                <c:pt idx="43">
                  <c:v>2057</c:v>
                </c:pt>
                <c:pt idx="44">
                  <c:v>2058</c:v>
                </c:pt>
                <c:pt idx="45">
                  <c:v>2059</c:v>
                </c:pt>
                <c:pt idx="46">
                  <c:v>2060</c:v>
                </c:pt>
                <c:pt idx="47">
                  <c:v>2061</c:v>
                </c:pt>
                <c:pt idx="48">
                  <c:v>2062</c:v>
                </c:pt>
                <c:pt idx="49">
                  <c:v>2063</c:v>
                </c:pt>
                <c:pt idx="50">
                  <c:v>2064</c:v>
                </c:pt>
                <c:pt idx="51">
                  <c:v>2065</c:v>
                </c:pt>
                <c:pt idx="52">
                  <c:v>2066</c:v>
                </c:pt>
                <c:pt idx="53">
                  <c:v>2067</c:v>
                </c:pt>
                <c:pt idx="54">
                  <c:v>2068</c:v>
                </c:pt>
                <c:pt idx="55">
                  <c:v>2069</c:v>
                </c:pt>
                <c:pt idx="56">
                  <c:v>2070</c:v>
                </c:pt>
                <c:pt idx="57">
                  <c:v>2071</c:v>
                </c:pt>
                <c:pt idx="58">
                  <c:v>2072</c:v>
                </c:pt>
                <c:pt idx="59">
                  <c:v>2073</c:v>
                </c:pt>
                <c:pt idx="60">
                  <c:v>2074</c:v>
                </c:pt>
              </c:numCache>
            </c:numRef>
          </c:cat>
          <c:val>
            <c:numRef>
              <c:f>'Failure Mode Effects Model'!$D$23:$D$112</c:f>
              <c:numCache>
                <c:formatCode>0.00000</c:formatCode>
                <c:ptCount val="90"/>
                <c:pt idx="0">
                  <c:v>0</c:v>
                </c:pt>
                <c:pt idx="1">
                  <c:v>0</c:v>
                </c:pt>
                <c:pt idx="2">
                  <c:v>0</c:v>
                </c:pt>
                <c:pt idx="3">
                  <c:v>0</c:v>
                </c:pt>
                <c:pt idx="4">
                  <c:v>0</c:v>
                </c:pt>
                <c:pt idx="5">
                  <c:v>0</c:v>
                </c:pt>
                <c:pt idx="6">
                  <c:v>0</c:v>
                </c:pt>
                <c:pt idx="7">
                  <c:v>0</c:v>
                </c:pt>
                <c:pt idx="8">
                  <c:v>0</c:v>
                </c:pt>
                <c:pt idx="9">
                  <c:v>0</c:v>
                </c:pt>
                <c:pt idx="10">
                  <c:v>0</c:v>
                </c:pt>
                <c:pt idx="11">
                  <c:v>4.3237907835400319E-5</c:v>
                </c:pt>
                <c:pt idx="12">
                  <c:v>3.0108198450723152E-4</c:v>
                </c:pt>
                <c:pt idx="13">
                  <c:v>9.364569372421771E-4</c:v>
                </c:pt>
                <c:pt idx="14">
                  <c:v>2.0925645054563108E-3</c:v>
                </c:pt>
                <c:pt idx="15">
                  <c:v>3.8971500642464405E-3</c:v>
                </c:pt>
                <c:pt idx="16">
                  <c:v>6.459777774637499E-3</c:v>
                </c:pt>
                <c:pt idx="17">
                  <c:v>9.8651653514946376E-3</c:v>
                </c:pt>
                <c:pt idx="18">
                  <c:v>1.4163400920132602E-2</c:v>
                </c:pt>
                <c:pt idx="19">
                  <c:v>1.935780316964681E-2</c:v>
                </c:pt>
                <c:pt idx="20">
                  <c:v>2.5391597682722571E-2</c:v>
                </c:pt>
                <c:pt idx="21">
                  <c:v>3.2135202625375635E-2</c:v>
                </c:pt>
                <c:pt idx="22">
                  <c:v>3.9376599853908005E-2</c:v>
                </c:pt>
                <c:pt idx="23">
                  <c:v>4.6817834180050137E-2</c:v>
                </c:pt>
                <c:pt idx="24">
                  <c:v>5.4080896740165883E-2</c:v>
                </c:pt>
                <c:pt idx="25">
                  <c:v>6.0725835032205043E-2</c:v>
                </c:pt>
                <c:pt idx="26">
                  <c:v>6.6282649607952368E-2</c:v>
                </c:pt>
                <c:pt idx="27">
                  <c:v>7.029627985873417E-2</c:v>
                </c:pt>
                <c:pt idx="28">
                  <c:v>7.238090544678577E-2</c:v>
                </c:pt>
                <c:pt idx="29">
                  <c:v>7.2276413851008109E-2</c:v>
                </c:pt>
                <c:pt idx="30">
                  <c:v>6.9897093822574044E-2</c:v>
                </c:pt>
                <c:pt idx="31">
                  <c:v>6.5361509780141283E-2</c:v>
                </c:pt>
                <c:pt idx="32">
                  <c:v>5.8994073282426854E-2</c:v>
                </c:pt>
                <c:pt idx="33">
                  <c:v>5.1293457214545334E-2</c:v>
                </c:pt>
                <c:pt idx="34">
                  <c:v>4.2870110359260964E-2</c:v>
                </c:pt>
                <c:pt idx="35">
                  <c:v>3.436302204450814E-2</c:v>
                </c:pt>
                <c:pt idx="36">
                  <c:v>2.6352090719282753E-2</c:v>
                </c:pt>
                <c:pt idx="37">
                  <c:v>1.9284575522374146E-2</c:v>
                </c:pt>
                <c:pt idx="38">
                  <c:v>1.343090155866531E-2</c:v>
                </c:pt>
                <c:pt idx="39">
                  <c:v>8.8772031314427267E-3</c:v>
                </c:pt>
                <c:pt idx="40">
                  <c:v>5.551982510020528E-3</c:v>
                </c:pt>
                <c:pt idx="41">
                  <c:v>3.2756464649333428E-3</c:v>
                </c:pt>
                <c:pt idx="42">
                  <c:v>1.8174046258224311E-3</c:v>
                </c:pt>
                <c:pt idx="43">
                  <c:v>9.4513653405663275E-4</c:v>
                </c:pt>
                <c:pt idx="44">
                  <c:v>4.5915951946767249E-4</c:v>
                </c:pt>
                <c:pt idx="45">
                  <c:v>2.0765995754710626E-4</c:v>
                </c:pt>
                <c:pt idx="46">
                  <c:v>8.7119060829025916E-5</c:v>
                </c:pt>
                <c:pt idx="47">
                  <c:v>3.3779555713960813E-5</c:v>
                </c:pt>
                <c:pt idx="48">
                  <c:v>1.2059873219988625E-5</c:v>
                </c:pt>
                <c:pt idx="49">
                  <c:v>3.9491776612784489E-6</c:v>
                </c:pt>
                <c:pt idx="50">
                  <c:v>1.1814971955094589E-6</c:v>
                </c:pt>
                <c:pt idx="51">
                  <c:v>3.2163865392663451E-7</c:v>
                </c:pt>
                <c:pt idx="52">
                  <c:v>7.9345382177066503E-8</c:v>
                </c:pt>
                <c:pt idx="53">
                  <c:v>1.766292823331066E-8</c:v>
                </c:pt>
                <c:pt idx="54">
                  <c:v>3.5328315083561564E-9</c:v>
                </c:pt>
                <c:pt idx="55">
                  <c:v>6.3211491860417221E-10</c:v>
                </c:pt>
                <c:pt idx="56">
                  <c:v>1.0072523749123512E-10</c:v>
                </c:pt>
                <c:pt idx="57">
                  <c:v>1.4228817529802939E-11</c:v>
                </c:pt>
                <c:pt idx="58">
                  <c:v>1.7736578139149501E-12</c:v>
                </c:pt>
                <c:pt idx="59">
                  <c:v>1.9417221842113231E-13</c:v>
                </c:pt>
                <c:pt idx="60">
                  <c:v>1.8579328155915514E-14</c:v>
                </c:pt>
                <c:pt idx="61">
                  <c:v>1.5462224367953753E-15</c:v>
                </c:pt>
                <c:pt idx="62">
                  <c:v>1.1136547922419555E-16</c:v>
                </c:pt>
                <c:pt idx="63">
                  <c:v>6.9066571391718252E-18</c:v>
                </c:pt>
                <c:pt idx="64">
                  <c:v>3.6693621120106802E-19</c:v>
                </c:pt>
                <c:pt idx="65">
                  <c:v>1.6613079622064395E-20</c:v>
                </c:pt>
                <c:pt idx="66">
                  <c:v>6.3759249436118465E-22</c:v>
                </c:pt>
                <c:pt idx="67">
                  <c:v>2.0631534365980359E-23</c:v>
                </c:pt>
                <c:pt idx="68">
                  <c:v>5.5981219773262034E-25</c:v>
                </c:pt>
                <c:pt idx="69">
                  <c:v>1.2666845658329409E-26</c:v>
                </c:pt>
                <c:pt idx="70">
                  <c:v>2.3766675150074631E-28</c:v>
                </c:pt>
                <c:pt idx="71">
                  <c:v>3.6767715646583878E-30</c:v>
                </c:pt>
                <c:pt idx="72">
                  <c:v>4.6628733779033779E-32</c:v>
                </c:pt>
                <c:pt idx="73">
                  <c:v>4.8193230471786751E-34</c:v>
                </c:pt>
                <c:pt idx="74">
                  <c:v>4.0354031077283231E-36</c:v>
                </c:pt>
                <c:pt idx="75">
                  <c:v>2.7211080069566353E-38</c:v>
                </c:pt>
                <c:pt idx="76">
                  <c:v>1.468651378580544E-40</c:v>
                </c:pt>
                <c:pt idx="77">
                  <c:v>6.3056314219047198E-43</c:v>
                </c:pt>
                <c:pt idx="78">
                  <c:v>2.1402528336508936E-45</c:v>
                </c:pt>
                <c:pt idx="79">
                  <c:v>5.7066981724484742E-48</c:v>
                </c:pt>
                <c:pt idx="80">
                  <c:v>1.1877138953957434E-50</c:v>
                </c:pt>
                <c:pt idx="81">
                  <c:v>1.9170652041404698E-53</c:v>
                </c:pt>
                <c:pt idx="82">
                  <c:v>2.3840665308932468E-56</c:v>
                </c:pt>
                <c:pt idx="83">
                  <c:v>2.2692484933131509E-59</c:v>
                </c:pt>
                <c:pt idx="84">
                  <c:v>1.6421818117495023E-62</c:v>
                </c:pt>
                <c:pt idx="85">
                  <c:v>8.9742230088494529E-66</c:v>
                </c:pt>
                <c:pt idx="86">
                  <c:v>3.6782191328912894E-69</c:v>
                </c:pt>
                <c:pt idx="87">
                  <c:v>1.1228971723814206E-72</c:v>
                </c:pt>
                <c:pt idx="88">
                  <c:v>2.5355284541584483E-76</c:v>
                </c:pt>
                <c:pt idx="89">
                  <c:v>4.2048992706791962E-80</c:v>
                </c:pt>
              </c:numCache>
              <c:extLst xmlns:c15="http://schemas.microsoft.com/office/drawing/2012/chart"/>
            </c:numRef>
          </c:val>
          <c:smooth val="0"/>
        </c:ser>
        <c:dLbls>
          <c:showLegendKey val="0"/>
          <c:showVal val="0"/>
          <c:showCatName val="0"/>
          <c:showSerName val="0"/>
          <c:showPercent val="0"/>
          <c:showBubbleSize val="0"/>
        </c:dLbls>
        <c:marker val="1"/>
        <c:smooth val="0"/>
        <c:axId val="314484384"/>
        <c:axId val="314485168"/>
      </c:lineChart>
      <c:catAx>
        <c:axId val="314483600"/>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14483992"/>
        <c:crosses val="autoZero"/>
        <c:auto val="1"/>
        <c:lblAlgn val="ctr"/>
        <c:lblOffset val="100"/>
        <c:noMultiLvlLbl val="0"/>
      </c:catAx>
      <c:valAx>
        <c:axId val="314483992"/>
        <c:scaling>
          <c:orientation val="minMax"/>
          <c:max val="1"/>
          <c:min val="0"/>
        </c:scaling>
        <c:delete val="0"/>
        <c:axPos val="l"/>
        <c:majorGridlines/>
        <c:numFmt formatCode="0%" sourceLinked="0"/>
        <c:majorTickMark val="out"/>
        <c:minorTickMark val="none"/>
        <c:tickLblPos val="nextTo"/>
        <c:crossAx val="314483600"/>
        <c:crosses val="autoZero"/>
        <c:crossBetween val="midCat"/>
      </c:valAx>
      <c:valAx>
        <c:axId val="314485168"/>
        <c:scaling>
          <c:orientation val="minMax"/>
          <c:max val="0.30000000000000004"/>
        </c:scaling>
        <c:delete val="0"/>
        <c:axPos val="r"/>
        <c:numFmt formatCode="0.00" sourceLinked="0"/>
        <c:majorTickMark val="out"/>
        <c:minorTickMark val="none"/>
        <c:tickLblPos val="nextTo"/>
        <c:crossAx val="314484384"/>
        <c:crosses val="max"/>
        <c:crossBetween val="between"/>
        <c:minorUnit val="5.000000000000001E-2"/>
      </c:valAx>
      <c:catAx>
        <c:axId val="314484384"/>
        <c:scaling>
          <c:orientation val="minMax"/>
        </c:scaling>
        <c:delete val="1"/>
        <c:axPos val="b"/>
        <c:numFmt formatCode="General" sourceLinked="1"/>
        <c:majorTickMark val="out"/>
        <c:minorTickMark val="none"/>
        <c:tickLblPos val="nextTo"/>
        <c:crossAx val="314485168"/>
        <c:crosses val="autoZero"/>
        <c:auto val="1"/>
        <c:lblAlgn val="ctr"/>
        <c:lblOffset val="100"/>
        <c:noMultiLvlLbl val="0"/>
      </c:catAx>
    </c:plotArea>
    <c:legend>
      <c:legendPos val="r"/>
      <c:layout>
        <c:manualLayout>
          <c:xMode val="edge"/>
          <c:yMode val="edge"/>
          <c:x val="0.12011303025682606"/>
          <c:y val="0.89595961480357167"/>
          <c:w val="0.8405241685535918"/>
          <c:h val="9.0778607062293529E-2"/>
        </c:manualLayout>
      </c:layout>
      <c:overlay val="0"/>
    </c:legend>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154615</xdr:colOff>
      <xdr:row>30</xdr:row>
      <xdr:rowOff>115488</xdr:rowOff>
    </xdr:from>
    <xdr:to>
      <xdr:col>22</xdr:col>
      <xdr:colOff>507300</xdr:colOff>
      <xdr:row>39</xdr:row>
      <xdr:rowOff>61048</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97056" y="6379576"/>
          <a:ext cx="2168038" cy="1660060"/>
        </a:xfrm>
        <a:prstGeom prst="rect">
          <a:avLst/>
        </a:prstGeom>
        <a:solidFill>
          <a:schemeClr val="bg1"/>
        </a:solidFill>
        <a:ln>
          <a:solidFill>
            <a:schemeClr val="bg1">
              <a:lumMod val="50000"/>
            </a:schemeClr>
          </a:solidFill>
        </a:ln>
      </xdr:spPr>
    </xdr:pic>
    <xdr:clientData/>
  </xdr:twoCellAnchor>
  <xdr:twoCellAnchor editAs="oneCell">
    <xdr:from>
      <xdr:col>22</xdr:col>
      <xdr:colOff>605761</xdr:colOff>
      <xdr:row>30</xdr:row>
      <xdr:rowOff>118187</xdr:rowOff>
    </xdr:from>
    <xdr:to>
      <xdr:col>27</xdr:col>
      <xdr:colOff>74739</xdr:colOff>
      <xdr:row>39</xdr:row>
      <xdr:rowOff>162149</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20065" y="4499687"/>
          <a:ext cx="2533542" cy="1758462"/>
        </a:xfrm>
        <a:prstGeom prst="rect">
          <a:avLst/>
        </a:prstGeom>
        <a:solidFill>
          <a:schemeClr val="bg1"/>
        </a:solidFill>
        <a:ln>
          <a:solidFill>
            <a:schemeClr val="bg1">
              <a:lumMod val="50000"/>
            </a:schemeClr>
          </a:solidFill>
        </a:ln>
      </xdr:spPr>
    </xdr:pic>
    <xdr:clientData/>
  </xdr:twoCellAnchor>
  <xdr:twoCellAnchor editAs="oneCell">
    <xdr:from>
      <xdr:col>19</xdr:col>
      <xdr:colOff>173149</xdr:colOff>
      <xdr:row>20</xdr:row>
      <xdr:rowOff>137167</xdr:rowOff>
    </xdr:from>
    <xdr:to>
      <xdr:col>22</xdr:col>
      <xdr:colOff>554434</xdr:colOff>
      <xdr:row>30</xdr:row>
      <xdr:rowOff>6747</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015590" y="4496255"/>
          <a:ext cx="2196638" cy="1774580"/>
        </a:xfrm>
        <a:prstGeom prst="rect">
          <a:avLst/>
        </a:prstGeom>
        <a:solidFill>
          <a:schemeClr val="bg1"/>
        </a:solidFill>
        <a:ln>
          <a:solidFill>
            <a:schemeClr val="bg1">
              <a:lumMod val="50000"/>
            </a:schemeClr>
          </a:solidFill>
        </a:ln>
      </xdr:spPr>
    </xdr:pic>
    <xdr:clientData/>
  </xdr:twoCellAnchor>
  <xdr:twoCellAnchor editAs="oneCell">
    <xdr:from>
      <xdr:col>0</xdr:col>
      <xdr:colOff>483578</xdr:colOff>
      <xdr:row>7</xdr:row>
      <xdr:rowOff>21981</xdr:rowOff>
    </xdr:from>
    <xdr:to>
      <xdr:col>0</xdr:col>
      <xdr:colOff>645503</xdr:colOff>
      <xdr:row>7</xdr:row>
      <xdr:rowOff>183906</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3578" y="783981"/>
          <a:ext cx="161925" cy="161925"/>
        </a:xfrm>
        <a:prstGeom prst="rect">
          <a:avLst/>
        </a:prstGeom>
      </xdr:spPr>
    </xdr:pic>
    <xdr:clientData/>
  </xdr:twoCellAnchor>
  <xdr:twoCellAnchor editAs="oneCell">
    <xdr:from>
      <xdr:col>0</xdr:col>
      <xdr:colOff>483577</xdr:colOff>
      <xdr:row>8</xdr:row>
      <xdr:rowOff>183167</xdr:rowOff>
    </xdr:from>
    <xdr:to>
      <xdr:col>0</xdr:col>
      <xdr:colOff>655027</xdr:colOff>
      <xdr:row>10</xdr:row>
      <xdr:rowOff>11717</xdr:rowOff>
    </xdr:to>
    <xdr:pic>
      <xdr:nvPicPr>
        <xdr:cNvPr id="7" name="Picture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3577" y="373667"/>
          <a:ext cx="171450" cy="209550"/>
        </a:xfrm>
        <a:prstGeom prst="rect">
          <a:avLst/>
        </a:prstGeom>
      </xdr:spPr>
    </xdr:pic>
    <xdr:clientData/>
  </xdr:twoCellAnchor>
  <xdr:twoCellAnchor editAs="oneCell">
    <xdr:from>
      <xdr:col>0</xdr:col>
      <xdr:colOff>549519</xdr:colOff>
      <xdr:row>11</xdr:row>
      <xdr:rowOff>29308</xdr:rowOff>
    </xdr:from>
    <xdr:to>
      <xdr:col>0</xdr:col>
      <xdr:colOff>711444</xdr:colOff>
      <xdr:row>12</xdr:row>
      <xdr:rowOff>733</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9519" y="791308"/>
          <a:ext cx="161925" cy="161925"/>
        </a:xfrm>
        <a:prstGeom prst="rect">
          <a:avLst/>
        </a:prstGeom>
      </xdr:spPr>
    </xdr:pic>
    <xdr:clientData/>
  </xdr:twoCellAnchor>
  <xdr:twoCellAnchor editAs="oneCell">
    <xdr:from>
      <xdr:col>23</xdr:col>
      <xdr:colOff>294234</xdr:colOff>
      <xdr:row>20</xdr:row>
      <xdr:rowOff>164921</xdr:rowOff>
    </xdr:from>
    <xdr:to>
      <xdr:col>27</xdr:col>
      <xdr:colOff>59569</xdr:colOff>
      <xdr:row>29</xdr:row>
      <xdr:rowOff>113633</xdr:rowOff>
    </xdr:to>
    <xdr:pic>
      <xdr:nvPicPr>
        <xdr:cNvPr id="9" name="Picture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557146" y="4524009"/>
          <a:ext cx="2185805" cy="1663212"/>
        </a:xfrm>
        <a:prstGeom prst="rect">
          <a:avLst/>
        </a:prstGeom>
        <a:solidFill>
          <a:schemeClr val="bg1"/>
        </a:solidFill>
        <a:ln>
          <a:solidFill>
            <a:schemeClr val="bg1">
              <a:lumMod val="50000"/>
            </a:schemeClr>
          </a:solidFill>
        </a:ln>
      </xdr:spPr>
    </xdr:pic>
    <xdr:clientData/>
  </xdr:twoCellAnchor>
  <xdr:twoCellAnchor editAs="oneCell">
    <xdr:from>
      <xdr:col>1</xdr:col>
      <xdr:colOff>36634</xdr:colOff>
      <xdr:row>14</xdr:row>
      <xdr:rowOff>43962</xdr:rowOff>
    </xdr:from>
    <xdr:to>
      <xdr:col>4</xdr:col>
      <xdr:colOff>617207</xdr:colOff>
      <xdr:row>18</xdr:row>
      <xdr:rowOff>0</xdr:rowOff>
    </xdr:to>
    <xdr:pic>
      <xdr:nvPicPr>
        <xdr:cNvPr id="10" name="Picture 9"/>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01211" y="1567962"/>
          <a:ext cx="3237470" cy="718038"/>
        </a:xfrm>
        <a:prstGeom prst="rect">
          <a:avLst/>
        </a:prstGeom>
        <a:solidFill>
          <a:schemeClr val="bg1"/>
        </a:solidFill>
        <a:ln>
          <a:solidFill>
            <a:schemeClr val="bg1">
              <a:lumMod val="50000"/>
            </a:schemeClr>
          </a:solidFill>
        </a:ln>
      </xdr:spPr>
    </xdr:pic>
    <xdr:clientData/>
  </xdr:twoCellAnchor>
  <xdr:twoCellAnchor>
    <xdr:from>
      <xdr:col>8</xdr:col>
      <xdr:colOff>179294</xdr:colOff>
      <xdr:row>21</xdr:row>
      <xdr:rowOff>11205</xdr:rowOff>
    </xdr:from>
    <xdr:to>
      <xdr:col>19</xdr:col>
      <xdr:colOff>22413</xdr:colOff>
      <xdr:row>48</xdr:row>
      <xdr:rowOff>100852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190502</xdr:colOff>
      <xdr:row>29</xdr:row>
      <xdr:rowOff>145676</xdr:rowOff>
    </xdr:from>
    <xdr:to>
      <xdr:col>18</xdr:col>
      <xdr:colOff>448239</xdr:colOff>
      <xdr:row>36</xdr:row>
      <xdr:rowOff>11206</xdr:rowOff>
    </xdr:to>
    <xdr:sp macro="" textlink="">
      <xdr:nvSpPr>
        <xdr:cNvPr id="11" name="TextBox 10"/>
        <xdr:cNvSpPr txBox="1"/>
      </xdr:nvSpPr>
      <xdr:spPr>
        <a:xfrm rot="16200000">
          <a:off x="15957180" y="6689910"/>
          <a:ext cx="1199030" cy="257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PDF Density</a:t>
          </a:r>
        </a:p>
      </xdr:txBody>
    </xdr:sp>
    <xdr:clientData/>
  </xdr:twoCellAnchor>
  <xdr:twoCellAnchor>
    <xdr:from>
      <xdr:col>9</xdr:col>
      <xdr:colOff>395771</xdr:colOff>
      <xdr:row>41</xdr:row>
      <xdr:rowOff>170382</xdr:rowOff>
    </xdr:from>
    <xdr:to>
      <xdr:col>10</xdr:col>
      <xdr:colOff>363681</xdr:colOff>
      <xdr:row>41</xdr:row>
      <xdr:rowOff>173182</xdr:rowOff>
    </xdr:to>
    <xdr:cxnSp macro="">
      <xdr:nvCxnSpPr>
        <xdr:cNvPr id="17" name="Straight Arrow Connector 16"/>
        <xdr:cNvCxnSpPr/>
      </xdr:nvCxnSpPr>
      <xdr:spPr>
        <a:xfrm>
          <a:off x="10656794" y="8695257"/>
          <a:ext cx="712592" cy="280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355022</xdr:colOff>
      <xdr:row>37</xdr:row>
      <xdr:rowOff>108239</xdr:rowOff>
    </xdr:from>
    <xdr:to>
      <xdr:col>13</xdr:col>
      <xdr:colOff>597478</xdr:colOff>
      <xdr:row>37</xdr:row>
      <xdr:rowOff>116898</xdr:rowOff>
    </xdr:to>
    <xdr:cxnSp macro="">
      <xdr:nvCxnSpPr>
        <xdr:cNvPr id="19" name="Straight Arrow Connector 18"/>
        <xdr:cNvCxnSpPr/>
      </xdr:nvCxnSpPr>
      <xdr:spPr>
        <a:xfrm flipV="1">
          <a:off x="11360727" y="7871114"/>
          <a:ext cx="2073853" cy="865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0.01887</cdr:x>
      <cdr:y>0.1873</cdr:y>
    </cdr:from>
    <cdr:to>
      <cdr:x>0.06363</cdr:x>
      <cdr:y>0.77302</cdr:y>
    </cdr:to>
    <cdr:sp macro="" textlink="">
      <cdr:nvSpPr>
        <cdr:cNvPr id="2" name="TextBox 10"/>
        <cdr:cNvSpPr txBox="1"/>
      </cdr:nvSpPr>
      <cdr:spPr>
        <a:xfrm xmlns:a="http://schemas.openxmlformats.org/drawingml/2006/main" rot="16200000">
          <a:off x="-1238624" y="2353237"/>
          <a:ext cx="3065181" cy="318993"/>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a:t>Reliability</a:t>
          </a:r>
          <a:r>
            <a:rPr lang="en-US" sz="1400" baseline="0"/>
            <a:t> / Risk CDF Percentage</a:t>
          </a:r>
          <a:endParaRPr lang="en-US" sz="1400"/>
        </a:p>
      </cdr:txBody>
    </cdr:sp>
  </cdr:relSizeAnchor>
  <cdr:relSizeAnchor xmlns:cdr="http://schemas.openxmlformats.org/drawingml/2006/chartDrawing">
    <cdr:from>
      <cdr:x>0.38719</cdr:x>
      <cdr:y>0.06746</cdr:y>
    </cdr:from>
    <cdr:to>
      <cdr:x>0.44694</cdr:x>
      <cdr:y>0.25162</cdr:y>
    </cdr:to>
    <cdr:sp macro="" textlink="">
      <cdr:nvSpPr>
        <cdr:cNvPr id="3" name="Up Arrow 2"/>
        <cdr:cNvSpPr/>
      </cdr:nvSpPr>
      <cdr:spPr>
        <a:xfrm xmlns:a="http://schemas.openxmlformats.org/drawingml/2006/main">
          <a:off x="2791334" y="353048"/>
          <a:ext cx="430733" cy="963706"/>
        </a:xfrm>
        <a:prstGeom xmlns:a="http://schemas.openxmlformats.org/drawingml/2006/main" prst="up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vert="vert270" wrap="square" anchor="ctr" anchorCtr="0"/>
        <a:lstStyle xmlns:a="http://schemas.openxmlformats.org/drawingml/2006/main"/>
        <a:p xmlns:a="http://schemas.openxmlformats.org/drawingml/2006/main">
          <a:r>
            <a:rPr lang="en-US"/>
            <a:t>SLE 2022</a:t>
          </a:r>
        </a:p>
      </cdr:txBody>
    </cdr:sp>
  </cdr:relSizeAnchor>
  <cdr:relSizeAnchor xmlns:cdr="http://schemas.openxmlformats.org/drawingml/2006/chartDrawing">
    <cdr:from>
      <cdr:x>0.10452</cdr:x>
      <cdr:y>0.65414</cdr:y>
    </cdr:from>
    <cdr:to>
      <cdr:x>0.24695</cdr:x>
      <cdr:y>0.7497</cdr:y>
    </cdr:to>
    <cdr:sp macro="" textlink="">
      <cdr:nvSpPr>
        <cdr:cNvPr id="5" name="TextBox 4"/>
        <cdr:cNvSpPr txBox="1"/>
      </cdr:nvSpPr>
      <cdr:spPr>
        <a:xfrm xmlns:a="http://schemas.openxmlformats.org/drawingml/2006/main">
          <a:off x="750210" y="3423208"/>
          <a:ext cx="1022223" cy="5000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a:t>Failure Free (estimated)</a:t>
          </a:r>
        </a:p>
      </cdr:txBody>
    </cdr:sp>
  </cdr:relSizeAnchor>
  <cdr:relSizeAnchor xmlns:cdr="http://schemas.openxmlformats.org/drawingml/2006/chartDrawing">
    <cdr:from>
      <cdr:x>0.2661</cdr:x>
      <cdr:y>0.50553</cdr:y>
    </cdr:from>
    <cdr:to>
      <cdr:x>0.44984</cdr:x>
      <cdr:y>0.60677</cdr:y>
    </cdr:to>
    <cdr:sp macro="" textlink="">
      <cdr:nvSpPr>
        <cdr:cNvPr id="6" name="TextBox 5"/>
        <cdr:cNvSpPr txBox="1"/>
      </cdr:nvSpPr>
      <cdr:spPr>
        <a:xfrm xmlns:a="http://schemas.openxmlformats.org/drawingml/2006/main">
          <a:off x="1909925" y="2645511"/>
          <a:ext cx="1318730" cy="5298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a:t>Failure Mechanism Maturity</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reliawiki.org/index.php/The_Weibull_Distributio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C112"/>
  <sheetViews>
    <sheetView tabSelected="1" zoomScale="90" zoomScaleNormal="90" workbookViewId="0">
      <selection activeCell="D29" sqref="D29"/>
    </sheetView>
  </sheetViews>
  <sheetFormatPr defaultRowHeight="15" x14ac:dyDescent="0.25"/>
  <cols>
    <col min="1" max="1" width="12.28515625" customWidth="1"/>
    <col min="2" max="2" width="15.42578125" customWidth="1"/>
    <col min="3" max="3" width="2.28515625" style="3" customWidth="1"/>
    <col min="4" max="4" width="22.140625" style="5" customWidth="1"/>
    <col min="5" max="5" width="14.42578125" style="11" customWidth="1"/>
    <col min="6" max="6" width="30.7109375" style="11" customWidth="1"/>
    <col min="7" max="7" width="25.42578125" style="11" customWidth="1"/>
    <col min="8" max="8" width="20.5703125" customWidth="1"/>
    <col min="9" max="9" width="10.5703125" customWidth="1"/>
    <col min="10" max="10" width="11.140625" customWidth="1"/>
    <col min="18" max="18" width="15" customWidth="1"/>
  </cols>
  <sheetData>
    <row r="1" spans="1:29" s="24" customFormat="1" ht="21" x14ac:dyDescent="0.3">
      <c r="A1" s="27" t="s">
        <v>19</v>
      </c>
      <c r="B1" s="27"/>
      <c r="C1" s="27"/>
      <c r="D1" s="27"/>
      <c r="E1" s="27"/>
      <c r="F1" s="27"/>
      <c r="G1" s="23"/>
      <c r="H1" s="23"/>
      <c r="I1" s="23"/>
      <c r="J1" s="23"/>
      <c r="K1" s="23"/>
      <c r="L1" s="23"/>
      <c r="M1" s="23"/>
      <c r="N1" s="23"/>
      <c r="O1" s="23"/>
      <c r="P1" s="23"/>
      <c r="Q1" s="23"/>
      <c r="R1" s="23"/>
      <c r="S1" s="23"/>
      <c r="T1" s="23"/>
      <c r="U1" s="23"/>
      <c r="V1" s="23"/>
    </row>
    <row r="2" spans="1:29" s="24" customFormat="1" ht="9" customHeight="1" x14ac:dyDescent="0.3">
      <c r="A2" s="27"/>
      <c r="B2" s="27"/>
      <c r="C2" s="27"/>
      <c r="D2" s="27"/>
      <c r="E2" s="27"/>
      <c r="F2" s="27"/>
      <c r="G2" s="23"/>
      <c r="H2" s="23"/>
      <c r="I2" s="23"/>
      <c r="J2" s="23"/>
      <c r="K2" s="23"/>
      <c r="L2" s="23"/>
      <c r="M2" s="23"/>
      <c r="N2" s="23"/>
      <c r="O2" s="23"/>
      <c r="P2" s="23"/>
      <c r="Q2" s="23"/>
      <c r="R2" s="23"/>
      <c r="S2" s="23"/>
      <c r="T2" s="23"/>
      <c r="U2" s="23"/>
      <c r="V2" s="23"/>
    </row>
    <row r="3" spans="1:29" s="22" customFormat="1" ht="51.75" customHeight="1" x14ac:dyDescent="0.25">
      <c r="A3" s="29" t="s">
        <v>25</v>
      </c>
      <c r="B3" s="30"/>
      <c r="C3" s="30"/>
      <c r="D3" s="30"/>
      <c r="E3" s="30"/>
      <c r="F3" s="30"/>
      <c r="G3" s="30"/>
      <c r="H3" s="30"/>
      <c r="I3" s="30"/>
      <c r="J3" s="30"/>
      <c r="K3" s="30"/>
      <c r="L3" s="30"/>
      <c r="M3" s="30"/>
      <c r="N3" s="30"/>
      <c r="O3" s="30"/>
      <c r="P3" s="30"/>
      <c r="Q3" s="30"/>
      <c r="R3" s="30"/>
      <c r="S3" s="31"/>
      <c r="T3" s="21"/>
      <c r="U3" s="21"/>
      <c r="V3" s="21"/>
      <c r="W3" s="21"/>
      <c r="X3" s="21"/>
      <c r="Y3" s="21"/>
      <c r="Z3" s="21"/>
      <c r="AA3" s="21"/>
      <c r="AB3" s="21"/>
      <c r="AC3" s="21"/>
    </row>
    <row r="4" spans="1:29" s="22" customFormat="1" ht="8.25" customHeight="1" x14ac:dyDescent="0.25">
      <c r="A4" s="34"/>
      <c r="B4" s="35"/>
      <c r="C4" s="35"/>
      <c r="D4" s="35"/>
      <c r="E4" s="35"/>
      <c r="F4" s="35"/>
      <c r="G4" s="35"/>
      <c r="H4" s="35"/>
      <c r="I4" s="35"/>
      <c r="J4" s="35"/>
      <c r="K4" s="35"/>
      <c r="L4" s="35"/>
      <c r="M4" s="35"/>
      <c r="N4" s="35"/>
      <c r="O4" s="35"/>
      <c r="P4" s="35"/>
      <c r="Q4" s="35"/>
      <c r="R4" s="35"/>
      <c r="S4" s="35"/>
      <c r="T4" s="21"/>
      <c r="U4" s="21"/>
      <c r="V4" s="21"/>
      <c r="W4" s="21"/>
      <c r="X4" s="21"/>
      <c r="Y4" s="21"/>
      <c r="Z4" s="21"/>
      <c r="AA4" s="21"/>
      <c r="AB4" s="21"/>
      <c r="AC4" s="21"/>
    </row>
    <row r="5" spans="1:29" s="22" customFormat="1" ht="39.75" customHeight="1" x14ac:dyDescent="0.25">
      <c r="A5" s="29" t="s">
        <v>23</v>
      </c>
      <c r="B5" s="32"/>
      <c r="C5" s="32"/>
      <c r="D5" s="32"/>
      <c r="E5" s="32"/>
      <c r="F5" s="32"/>
      <c r="G5" s="32"/>
      <c r="H5" s="32"/>
      <c r="I5" s="32"/>
      <c r="J5" s="32"/>
      <c r="K5" s="32"/>
      <c r="L5" s="32"/>
      <c r="M5" s="32"/>
      <c r="N5" s="32"/>
      <c r="O5" s="32"/>
      <c r="P5" s="32"/>
      <c r="Q5" s="32"/>
      <c r="R5" s="32"/>
      <c r="S5" s="33"/>
      <c r="T5" s="21"/>
      <c r="U5" s="21"/>
      <c r="V5" s="21"/>
      <c r="W5" s="21"/>
      <c r="X5" s="21"/>
      <c r="Y5" s="21"/>
      <c r="Z5" s="21"/>
      <c r="AA5" s="21"/>
      <c r="AB5" s="21"/>
      <c r="AC5" s="21"/>
    </row>
    <row r="6" spans="1:29" s="22" customFormat="1" ht="15.75" x14ac:dyDescent="0.25">
      <c r="A6" s="28"/>
      <c r="B6" s="28"/>
      <c r="C6" s="28"/>
      <c r="D6" s="28"/>
      <c r="E6" s="28"/>
      <c r="F6" s="28"/>
      <c r="G6" s="28"/>
      <c r="H6" s="28"/>
      <c r="I6" s="28"/>
      <c r="J6" s="28"/>
      <c r="K6" s="28"/>
      <c r="L6" s="28"/>
      <c r="M6" s="28"/>
      <c r="N6" s="28"/>
      <c r="O6" s="28"/>
      <c r="P6" s="28"/>
      <c r="Q6" s="28"/>
      <c r="R6" s="21"/>
      <c r="S6" s="21"/>
      <c r="T6" s="21"/>
      <c r="U6" s="21"/>
      <c r="V6" s="21"/>
      <c r="W6" s="21"/>
      <c r="X6" s="21"/>
      <c r="Y6" s="21"/>
      <c r="Z6" s="21"/>
      <c r="AA6" s="21"/>
      <c r="AB6" s="21"/>
      <c r="AC6" s="21"/>
    </row>
    <row r="7" spans="1:29" s="22" customFormat="1" ht="15.75"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row>
    <row r="8" spans="1:29" x14ac:dyDescent="0.25">
      <c r="A8" t="s">
        <v>1</v>
      </c>
      <c r="B8" s="2">
        <v>20</v>
      </c>
      <c r="D8" s="4" t="s">
        <v>13</v>
      </c>
      <c r="G8" s="15" t="s">
        <v>21</v>
      </c>
      <c r="H8" s="15"/>
      <c r="I8" s="15"/>
      <c r="J8" s="15"/>
      <c r="K8" s="15"/>
      <c r="L8" s="15"/>
      <c r="M8" s="15"/>
      <c r="N8" s="15"/>
      <c r="O8" s="15"/>
      <c r="P8" s="15"/>
      <c r="Q8" s="15"/>
      <c r="R8" s="15"/>
      <c r="S8" s="15"/>
    </row>
    <row r="10" spans="1:29" x14ac:dyDescent="0.25">
      <c r="A10" t="s">
        <v>2</v>
      </c>
      <c r="B10" s="2">
        <v>3.8</v>
      </c>
      <c r="D10" s="4" t="s">
        <v>4</v>
      </c>
      <c r="G10" s="15" t="s">
        <v>22</v>
      </c>
      <c r="H10" s="15"/>
      <c r="I10" s="15"/>
      <c r="J10" s="15"/>
      <c r="K10" s="15"/>
      <c r="L10" s="15"/>
      <c r="M10" s="15"/>
      <c r="N10" s="15"/>
      <c r="O10" s="15"/>
      <c r="P10" s="15"/>
      <c r="Q10" s="15"/>
      <c r="R10" s="15"/>
      <c r="S10" s="15"/>
    </row>
    <row r="12" spans="1:29" x14ac:dyDescent="0.25">
      <c r="A12" t="s">
        <v>0</v>
      </c>
      <c r="B12" s="2">
        <v>11</v>
      </c>
      <c r="D12" s="4" t="s">
        <v>20</v>
      </c>
      <c r="G12" s="15" t="s">
        <v>11</v>
      </c>
      <c r="H12" s="15"/>
      <c r="I12" s="15"/>
      <c r="J12" s="15"/>
      <c r="K12" s="15"/>
      <c r="L12" s="15"/>
      <c r="M12" s="15"/>
      <c r="N12" s="15"/>
      <c r="O12" s="15"/>
      <c r="P12" s="15"/>
      <c r="Q12" s="15"/>
      <c r="R12" s="15"/>
      <c r="S12" s="15"/>
    </row>
    <row r="14" spans="1:29" x14ac:dyDescent="0.25">
      <c r="B14" t="s">
        <v>5</v>
      </c>
      <c r="G14" s="19"/>
      <c r="H14" s="18"/>
      <c r="I14" s="18"/>
      <c r="J14" s="18"/>
      <c r="K14" s="18"/>
      <c r="L14" s="18"/>
      <c r="M14" s="18"/>
      <c r="N14" s="18"/>
      <c r="O14" s="18"/>
      <c r="P14" s="18"/>
      <c r="Q14" s="18"/>
      <c r="R14" s="18"/>
    </row>
    <row r="15" spans="1:29" x14ac:dyDescent="0.25">
      <c r="G15" s="15" t="s">
        <v>12</v>
      </c>
      <c r="H15" s="36">
        <v>0.999</v>
      </c>
      <c r="I15" s="18"/>
      <c r="J15" s="20"/>
      <c r="K15" s="18"/>
      <c r="L15" s="18"/>
      <c r="M15" s="18"/>
      <c r="N15" s="18"/>
      <c r="O15" s="18"/>
      <c r="P15" s="18"/>
      <c r="Q15" s="18"/>
      <c r="R15" s="18"/>
    </row>
    <row r="17" spans="1:20" x14ac:dyDescent="0.25">
      <c r="G17" s="15" t="s">
        <v>18</v>
      </c>
      <c r="H17" s="37">
        <v>0.02</v>
      </c>
      <c r="I17" s="18"/>
      <c r="J17" s="15" t="s">
        <v>17</v>
      </c>
      <c r="K17" s="38">
        <v>2049</v>
      </c>
    </row>
    <row r="20" spans="1:20" x14ac:dyDescent="0.25">
      <c r="E20" s="13"/>
      <c r="F20" s="17" t="s">
        <v>8</v>
      </c>
      <c r="G20" s="14">
        <f>(2.5-1.1)/0.069</f>
        <v>20.289855072463766</v>
      </c>
      <c r="H20" s="16" t="s">
        <v>10</v>
      </c>
      <c r="I20" s="16"/>
      <c r="J20" s="16"/>
      <c r="K20" s="16"/>
      <c r="L20" s="16"/>
      <c r="M20" s="16"/>
      <c r="N20" s="16"/>
      <c r="O20" s="16"/>
      <c r="P20" s="16"/>
      <c r="Q20" s="16"/>
      <c r="S20" s="6"/>
      <c r="T20" s="6" t="s">
        <v>3</v>
      </c>
    </row>
    <row r="21" spans="1:20" x14ac:dyDescent="0.25">
      <c r="A21" s="10" t="s">
        <v>7</v>
      </c>
      <c r="B21" t="s">
        <v>6</v>
      </c>
    </row>
    <row r="22" spans="1:20" x14ac:dyDescent="0.25">
      <c r="A22" s="9">
        <v>1984</v>
      </c>
      <c r="B22" s="8"/>
      <c r="D22" s="7" t="s">
        <v>16</v>
      </c>
      <c r="E22" s="12" t="s">
        <v>15</v>
      </c>
      <c r="F22" s="12" t="s">
        <v>9</v>
      </c>
      <c r="G22" s="12" t="s">
        <v>14</v>
      </c>
      <c r="H22" s="12" t="s">
        <v>24</v>
      </c>
      <c r="K22" s="1"/>
    </row>
    <row r="23" spans="1:20" x14ac:dyDescent="0.25">
      <c r="A23">
        <f>A22+1</f>
        <v>1985</v>
      </c>
      <c r="B23">
        <f t="shared" ref="B23:B86" si="0">A23-mfr_yr</f>
        <v>1</v>
      </c>
      <c r="D23" s="25">
        <f t="shared" ref="D23:D54" si="1">IF(B23&gt;=ups,((beta/eta)*(((B23-ups)/eta)^(beta-1))*(EXP(-1*(((B23-ups)/eta)^beta)))),0)</f>
        <v>0</v>
      </c>
      <c r="E23" s="25">
        <f t="shared" ref="E23:E54" si="2">IF((B23&gt;ups),IF(E22+D23&gt;1,1,E22+D23),0)</f>
        <v>0</v>
      </c>
      <c r="F23" s="25">
        <f>IF(B23&gt;=ups+margin,((beta/eta)*(((B23-ups-margin)/eta)^(beta-1))*(EXP(-1*(((B23-ups-margin)/eta)^beta)))),0)</f>
        <v>0</v>
      </c>
      <c r="G23" s="25">
        <f>F23</f>
        <v>0</v>
      </c>
      <c r="H23" s="26">
        <f t="shared" ref="H23:H54" si="3">IF(B23&lt;=(ups+margin),alloc,IF(F23&gt;0,H22-alloc*F23,0))</f>
        <v>0.999</v>
      </c>
    </row>
    <row r="24" spans="1:20" x14ac:dyDescent="0.25">
      <c r="A24">
        <f t="shared" ref="A24:A87" si="4">A23+1</f>
        <v>1986</v>
      </c>
      <c r="B24">
        <f t="shared" si="0"/>
        <v>2</v>
      </c>
      <c r="D24" s="25">
        <f t="shared" si="1"/>
        <v>0</v>
      </c>
      <c r="E24" s="25">
        <f t="shared" si="2"/>
        <v>0</v>
      </c>
      <c r="F24" s="25">
        <f>IF(B24&gt;=ups+margin,((beta/eta)*(((B24-ups-margin)/eta)^(beta-1))*(EXP(-1*(((B24-ups-margin)/eta)^beta)))),0)</f>
        <v>0</v>
      </c>
      <c r="G24" s="25">
        <f t="shared" ref="G24:G55" si="5">IF(B24&lt;=ups+margin,0,IF(F24=0,1,G23+F24))</f>
        <v>0</v>
      </c>
      <c r="H24" s="26">
        <f t="shared" si="3"/>
        <v>0.999</v>
      </c>
    </row>
    <row r="25" spans="1:20" x14ac:dyDescent="0.25">
      <c r="A25">
        <f t="shared" si="4"/>
        <v>1987</v>
      </c>
      <c r="B25">
        <f t="shared" si="0"/>
        <v>3</v>
      </c>
      <c r="D25" s="25">
        <f t="shared" si="1"/>
        <v>0</v>
      </c>
      <c r="E25" s="25">
        <f t="shared" si="2"/>
        <v>0</v>
      </c>
      <c r="F25" s="25">
        <f>IF(B25&gt;=ups+margin,((beta/eta)*(((B25-ups-margin)/eta)^(beta-1))*(EXP(-1*(((B25-ups-margin)/eta)^beta)))),0)</f>
        <v>0</v>
      </c>
      <c r="G25" s="25">
        <f t="shared" si="5"/>
        <v>0</v>
      </c>
      <c r="H25" s="26">
        <f t="shared" si="3"/>
        <v>0.999</v>
      </c>
    </row>
    <row r="26" spans="1:20" x14ac:dyDescent="0.25">
      <c r="A26">
        <f t="shared" si="4"/>
        <v>1988</v>
      </c>
      <c r="B26">
        <f t="shared" si="0"/>
        <v>4</v>
      </c>
      <c r="D26" s="25">
        <f t="shared" si="1"/>
        <v>0</v>
      </c>
      <c r="E26" s="25">
        <f t="shared" si="2"/>
        <v>0</v>
      </c>
      <c r="F26" s="25">
        <f>IF(B26&gt;=ups+margin,((beta/eta)*(((B26-ups-margin)/eta)^(beta-1))*(EXP(-1*(((B26-ups-margin)/eta)^beta)))),0)</f>
        <v>0</v>
      </c>
      <c r="G26" s="25">
        <f t="shared" si="5"/>
        <v>0</v>
      </c>
      <c r="H26" s="26">
        <f t="shared" si="3"/>
        <v>0.999</v>
      </c>
    </row>
    <row r="27" spans="1:20" x14ac:dyDescent="0.25">
      <c r="A27">
        <f t="shared" si="4"/>
        <v>1989</v>
      </c>
      <c r="B27">
        <f t="shared" si="0"/>
        <v>5</v>
      </c>
      <c r="D27" s="25">
        <f t="shared" si="1"/>
        <v>0</v>
      </c>
      <c r="E27" s="25">
        <f t="shared" si="2"/>
        <v>0</v>
      </c>
      <c r="F27" s="25">
        <f>IF(B27&gt;=ups+margin,((beta/eta)*(((B27-ups-margin)/eta)^(beta-1))*(EXP(-1*(((B27-ups-margin)/eta)^beta)))),0)</f>
        <v>0</v>
      </c>
      <c r="G27" s="25">
        <f t="shared" si="5"/>
        <v>0</v>
      </c>
      <c r="H27" s="26">
        <f t="shared" si="3"/>
        <v>0.999</v>
      </c>
    </row>
    <row r="28" spans="1:20" x14ac:dyDescent="0.25">
      <c r="A28">
        <f t="shared" si="4"/>
        <v>1990</v>
      </c>
      <c r="B28">
        <f t="shared" si="0"/>
        <v>6</v>
      </c>
      <c r="D28" s="25">
        <f t="shared" si="1"/>
        <v>0</v>
      </c>
      <c r="E28" s="25">
        <f t="shared" si="2"/>
        <v>0</v>
      </c>
      <c r="F28" s="25">
        <f>IF(B28&gt;=ups+margin,((beta/eta)*(((B28-ups-margin)/eta)^(beta-1))*(EXP(-1*(((B28-ups-margin)/eta)^beta)))),0)</f>
        <v>0</v>
      </c>
      <c r="G28" s="25">
        <f t="shared" si="5"/>
        <v>0</v>
      </c>
      <c r="H28" s="26">
        <f t="shared" si="3"/>
        <v>0.999</v>
      </c>
    </row>
    <row r="29" spans="1:20" x14ac:dyDescent="0.25">
      <c r="A29">
        <f t="shared" si="4"/>
        <v>1991</v>
      </c>
      <c r="B29">
        <f t="shared" si="0"/>
        <v>7</v>
      </c>
      <c r="D29" s="25">
        <f t="shared" si="1"/>
        <v>0</v>
      </c>
      <c r="E29" s="25">
        <f t="shared" si="2"/>
        <v>0</v>
      </c>
      <c r="F29" s="25">
        <f>IF(B29&gt;=ups+margin,((beta/eta)*(((B29-ups-margin)/eta)^(beta-1))*(EXP(-1*(((B29-ups-margin)/eta)^beta)))),0)</f>
        <v>0</v>
      </c>
      <c r="G29" s="25">
        <f t="shared" si="5"/>
        <v>0</v>
      </c>
      <c r="H29" s="26">
        <f t="shared" si="3"/>
        <v>0.999</v>
      </c>
    </row>
    <row r="30" spans="1:20" x14ac:dyDescent="0.25">
      <c r="A30">
        <f t="shared" si="4"/>
        <v>1992</v>
      </c>
      <c r="B30">
        <f t="shared" si="0"/>
        <v>8</v>
      </c>
      <c r="D30" s="25">
        <f t="shared" si="1"/>
        <v>0</v>
      </c>
      <c r="E30" s="25">
        <f t="shared" si="2"/>
        <v>0</v>
      </c>
      <c r="F30" s="25">
        <f>IF(B30&gt;=ups+margin,((beta/eta)*(((B30-ups-margin)/eta)^(beta-1))*(EXP(-1*(((B30-ups-margin)/eta)^beta)))),0)</f>
        <v>0</v>
      </c>
      <c r="G30" s="25">
        <f t="shared" si="5"/>
        <v>0</v>
      </c>
      <c r="H30" s="26">
        <f t="shared" si="3"/>
        <v>0.999</v>
      </c>
    </row>
    <row r="31" spans="1:20" x14ac:dyDescent="0.25">
      <c r="A31">
        <f t="shared" si="4"/>
        <v>1993</v>
      </c>
      <c r="B31">
        <f t="shared" si="0"/>
        <v>9</v>
      </c>
      <c r="D31" s="25">
        <f t="shared" si="1"/>
        <v>0</v>
      </c>
      <c r="E31" s="25">
        <f t="shared" si="2"/>
        <v>0</v>
      </c>
      <c r="F31" s="25">
        <f>IF(B31&gt;=ups+margin,((beta/eta)*(((B31-ups-margin)/eta)^(beta-1))*(EXP(-1*(((B31-ups-margin)/eta)^beta)))),0)</f>
        <v>0</v>
      </c>
      <c r="G31" s="25">
        <f t="shared" si="5"/>
        <v>0</v>
      </c>
      <c r="H31" s="26">
        <f t="shared" si="3"/>
        <v>0.999</v>
      </c>
    </row>
    <row r="32" spans="1:20" x14ac:dyDescent="0.25">
      <c r="A32">
        <f t="shared" si="4"/>
        <v>1994</v>
      </c>
      <c r="B32">
        <f t="shared" si="0"/>
        <v>10</v>
      </c>
      <c r="D32" s="25">
        <f t="shared" si="1"/>
        <v>0</v>
      </c>
      <c r="E32" s="25">
        <f t="shared" si="2"/>
        <v>0</v>
      </c>
      <c r="F32" s="25">
        <f>IF(B32&gt;=ups+margin,((beta/eta)*(((B32-ups-margin)/eta)^(beta-1))*(EXP(-1*(((B32-ups-margin)/eta)^beta)))),0)</f>
        <v>0</v>
      </c>
      <c r="G32" s="25">
        <f t="shared" si="5"/>
        <v>0</v>
      </c>
      <c r="H32" s="26">
        <f t="shared" si="3"/>
        <v>0.999</v>
      </c>
    </row>
    <row r="33" spans="1:8" x14ac:dyDescent="0.25">
      <c r="A33">
        <f t="shared" si="4"/>
        <v>1995</v>
      </c>
      <c r="B33">
        <f t="shared" si="0"/>
        <v>11</v>
      </c>
      <c r="D33" s="25">
        <f t="shared" si="1"/>
        <v>0</v>
      </c>
      <c r="E33" s="25">
        <f t="shared" si="2"/>
        <v>0</v>
      </c>
      <c r="F33" s="25">
        <f>IF(B33&gt;=ups+margin,((beta/eta)*(((B33-ups-margin)/eta)^(beta-1))*(EXP(-1*(((B33-ups-margin)/eta)^beta)))),0)</f>
        <v>0</v>
      </c>
      <c r="G33" s="25">
        <f t="shared" si="5"/>
        <v>0</v>
      </c>
      <c r="H33" s="26">
        <f t="shared" si="3"/>
        <v>0.999</v>
      </c>
    </row>
    <row r="34" spans="1:8" x14ac:dyDescent="0.25">
      <c r="A34">
        <f t="shared" si="4"/>
        <v>1996</v>
      </c>
      <c r="B34">
        <f t="shared" si="0"/>
        <v>12</v>
      </c>
      <c r="D34" s="25">
        <f t="shared" si="1"/>
        <v>4.3237907835400319E-5</v>
      </c>
      <c r="E34" s="25">
        <f t="shared" si="2"/>
        <v>4.3237907835400319E-5</v>
      </c>
      <c r="F34" s="25">
        <f>IF(B34&gt;=ups+margin,((beta/eta)*(((B34-ups-margin)/eta)^(beta-1))*(EXP(-1*(((B34-ups-margin)/eta)^beta)))),0)</f>
        <v>0</v>
      </c>
      <c r="G34" s="25">
        <f t="shared" si="5"/>
        <v>0</v>
      </c>
      <c r="H34" s="26">
        <f t="shared" si="3"/>
        <v>0.999</v>
      </c>
    </row>
    <row r="35" spans="1:8" x14ac:dyDescent="0.25">
      <c r="A35">
        <f t="shared" si="4"/>
        <v>1997</v>
      </c>
      <c r="B35">
        <f t="shared" si="0"/>
        <v>13</v>
      </c>
      <c r="D35" s="25">
        <f t="shared" si="1"/>
        <v>3.0108198450723152E-4</v>
      </c>
      <c r="E35" s="25">
        <f t="shared" si="2"/>
        <v>3.4431989234263186E-4</v>
      </c>
      <c r="F35" s="25">
        <f>IF(B35&gt;=ups+margin,((beta/eta)*(((B35-ups-margin)/eta)^(beta-1))*(EXP(-1*(((B35-ups-margin)/eta)^beta)))),0)</f>
        <v>0</v>
      </c>
      <c r="G35" s="25">
        <f t="shared" si="5"/>
        <v>0</v>
      </c>
      <c r="H35" s="26">
        <f t="shared" si="3"/>
        <v>0.999</v>
      </c>
    </row>
    <row r="36" spans="1:8" x14ac:dyDescent="0.25">
      <c r="A36">
        <f t="shared" si="4"/>
        <v>1998</v>
      </c>
      <c r="B36">
        <f t="shared" si="0"/>
        <v>14</v>
      </c>
      <c r="D36" s="25">
        <f t="shared" si="1"/>
        <v>9.364569372421771E-4</v>
      </c>
      <c r="E36" s="25">
        <f t="shared" si="2"/>
        <v>1.280776829584809E-3</v>
      </c>
      <c r="F36" s="25">
        <f>IF(B36&gt;=ups+margin,((beta/eta)*(((B36-ups-margin)/eta)^(beta-1))*(EXP(-1*(((B36-ups-margin)/eta)^beta)))),0)</f>
        <v>0</v>
      </c>
      <c r="G36" s="25">
        <f t="shared" si="5"/>
        <v>0</v>
      </c>
      <c r="H36" s="26">
        <f t="shared" si="3"/>
        <v>0.999</v>
      </c>
    </row>
    <row r="37" spans="1:8" x14ac:dyDescent="0.25">
      <c r="A37">
        <f t="shared" si="4"/>
        <v>1999</v>
      </c>
      <c r="B37">
        <f t="shared" si="0"/>
        <v>15</v>
      </c>
      <c r="D37" s="25">
        <f t="shared" si="1"/>
        <v>2.0925645054563108E-3</v>
      </c>
      <c r="E37" s="25">
        <f t="shared" si="2"/>
        <v>3.37334133504112E-3</v>
      </c>
      <c r="F37" s="25">
        <f>IF(B37&gt;=ups+margin,((beta/eta)*(((B37-ups-margin)/eta)^(beta-1))*(EXP(-1*(((B37-ups-margin)/eta)^beta)))),0)</f>
        <v>0</v>
      </c>
      <c r="G37" s="25">
        <f t="shared" si="5"/>
        <v>0</v>
      </c>
      <c r="H37" s="26">
        <f t="shared" si="3"/>
        <v>0.999</v>
      </c>
    </row>
    <row r="38" spans="1:8" x14ac:dyDescent="0.25">
      <c r="A38">
        <f t="shared" si="4"/>
        <v>2000</v>
      </c>
      <c r="B38">
        <f t="shared" si="0"/>
        <v>16</v>
      </c>
      <c r="D38" s="25">
        <f t="shared" si="1"/>
        <v>3.8971500642464405E-3</v>
      </c>
      <c r="E38" s="25">
        <f t="shared" si="2"/>
        <v>7.2704913992875601E-3</v>
      </c>
      <c r="F38" s="25">
        <f>IF(B38&gt;=ups+margin,((beta/eta)*(((B38-ups-margin)/eta)^(beta-1))*(EXP(-1*(((B38-ups-margin)/eta)^beta)))),0)</f>
        <v>0</v>
      </c>
      <c r="G38" s="25">
        <f t="shared" si="5"/>
        <v>0</v>
      </c>
      <c r="H38" s="26">
        <f t="shared" si="3"/>
        <v>0.999</v>
      </c>
    </row>
    <row r="39" spans="1:8" x14ac:dyDescent="0.25">
      <c r="A39">
        <f t="shared" si="4"/>
        <v>2001</v>
      </c>
      <c r="B39">
        <f t="shared" si="0"/>
        <v>17</v>
      </c>
      <c r="D39" s="25">
        <f t="shared" si="1"/>
        <v>6.459777774637499E-3</v>
      </c>
      <c r="E39" s="25">
        <f t="shared" si="2"/>
        <v>1.3730269173925058E-2</v>
      </c>
      <c r="F39" s="25">
        <f>IF(B39&gt;=ups+margin,((beta/eta)*(((B39-ups-margin)/eta)^(beta-1))*(EXP(-1*(((B39-ups-margin)/eta)^beta)))),0)</f>
        <v>0</v>
      </c>
      <c r="G39" s="25">
        <f t="shared" si="5"/>
        <v>0</v>
      </c>
      <c r="H39" s="26">
        <f t="shared" si="3"/>
        <v>0.999</v>
      </c>
    </row>
    <row r="40" spans="1:8" x14ac:dyDescent="0.25">
      <c r="A40">
        <f t="shared" si="4"/>
        <v>2002</v>
      </c>
      <c r="B40">
        <f t="shared" si="0"/>
        <v>18</v>
      </c>
      <c r="D40" s="25">
        <f t="shared" si="1"/>
        <v>9.8651653514946376E-3</v>
      </c>
      <c r="E40" s="25">
        <f t="shared" si="2"/>
        <v>2.3595434525419696E-2</v>
      </c>
      <c r="F40" s="25">
        <f>IF(B40&gt;=ups+margin,((beta/eta)*(((B40-ups-margin)/eta)^(beta-1))*(EXP(-1*(((B40-ups-margin)/eta)^beta)))),0)</f>
        <v>0</v>
      </c>
      <c r="G40" s="25">
        <f t="shared" si="5"/>
        <v>0</v>
      </c>
      <c r="H40" s="26">
        <f t="shared" si="3"/>
        <v>0.999</v>
      </c>
    </row>
    <row r="41" spans="1:8" x14ac:dyDescent="0.25">
      <c r="A41">
        <f t="shared" si="4"/>
        <v>2003</v>
      </c>
      <c r="B41">
        <f t="shared" si="0"/>
        <v>19</v>
      </c>
      <c r="D41" s="25">
        <f t="shared" si="1"/>
        <v>1.4163400920132602E-2</v>
      </c>
      <c r="E41" s="25">
        <f t="shared" si="2"/>
        <v>3.7758835445552294E-2</v>
      </c>
      <c r="F41" s="25">
        <f>IF(B41&gt;=ups+margin,((beta/eta)*(((B41-ups-margin)/eta)^(beta-1))*(EXP(-1*(((B41-ups-margin)/eta)^beta)))),0)</f>
        <v>0</v>
      </c>
      <c r="G41" s="25">
        <f t="shared" si="5"/>
        <v>0</v>
      </c>
      <c r="H41" s="26">
        <f t="shared" si="3"/>
        <v>0.999</v>
      </c>
    </row>
    <row r="42" spans="1:8" x14ac:dyDescent="0.25">
      <c r="A42">
        <f t="shared" si="4"/>
        <v>2004</v>
      </c>
      <c r="B42">
        <f t="shared" si="0"/>
        <v>20</v>
      </c>
      <c r="D42" s="25">
        <f t="shared" si="1"/>
        <v>1.935780316964681E-2</v>
      </c>
      <c r="E42" s="25">
        <f t="shared" si="2"/>
        <v>5.7116638615199104E-2</v>
      </c>
      <c r="F42" s="25">
        <f>IF(B42&gt;=ups+margin,((beta/eta)*(((B42-ups-margin)/eta)^(beta-1))*(EXP(-1*(((B42-ups-margin)/eta)^beta)))),0)</f>
        <v>0</v>
      </c>
      <c r="G42" s="25">
        <f t="shared" si="5"/>
        <v>0</v>
      </c>
      <c r="H42" s="26">
        <f t="shared" si="3"/>
        <v>0.999</v>
      </c>
    </row>
    <row r="43" spans="1:8" x14ac:dyDescent="0.25">
      <c r="A43">
        <f t="shared" si="4"/>
        <v>2005</v>
      </c>
      <c r="B43">
        <f t="shared" si="0"/>
        <v>21</v>
      </c>
      <c r="D43" s="25">
        <f t="shared" si="1"/>
        <v>2.5391597682722571E-2</v>
      </c>
      <c r="E43" s="25">
        <f t="shared" si="2"/>
        <v>8.2508236297921672E-2</v>
      </c>
      <c r="F43" s="25">
        <f>IF(B43&gt;=ups+margin,((beta/eta)*(((B43-ups-margin)/eta)^(beta-1))*(EXP(-1*(((B43-ups-margin)/eta)^beta)))),0)</f>
        <v>0</v>
      </c>
      <c r="G43" s="25">
        <f t="shared" si="5"/>
        <v>0</v>
      </c>
      <c r="H43" s="26">
        <f t="shared" si="3"/>
        <v>0.999</v>
      </c>
    </row>
    <row r="44" spans="1:8" x14ac:dyDescent="0.25">
      <c r="A44">
        <f t="shared" si="4"/>
        <v>2006</v>
      </c>
      <c r="B44">
        <f t="shared" si="0"/>
        <v>22</v>
      </c>
      <c r="D44" s="25">
        <f t="shared" si="1"/>
        <v>3.2135202625375635E-2</v>
      </c>
      <c r="E44" s="25">
        <f t="shared" si="2"/>
        <v>0.11464343892329731</v>
      </c>
      <c r="F44" s="25">
        <f>IF(B44&gt;=ups+margin,((beta/eta)*(((B44-ups-margin)/eta)^(beta-1))*(EXP(-1*(((B44-ups-margin)/eta)^beta)))),0)</f>
        <v>0</v>
      </c>
      <c r="G44" s="25">
        <f t="shared" si="5"/>
        <v>0</v>
      </c>
      <c r="H44" s="26">
        <f t="shared" si="3"/>
        <v>0.999</v>
      </c>
    </row>
    <row r="45" spans="1:8" x14ac:dyDescent="0.25">
      <c r="A45">
        <f t="shared" si="4"/>
        <v>2007</v>
      </c>
      <c r="B45">
        <f t="shared" si="0"/>
        <v>23</v>
      </c>
      <c r="D45" s="25">
        <f t="shared" si="1"/>
        <v>3.9376599853908005E-2</v>
      </c>
      <c r="E45" s="25">
        <f t="shared" si="2"/>
        <v>0.15402003877720533</v>
      </c>
      <c r="F45" s="25">
        <f>IF(B45&gt;=ups+margin,((beta/eta)*(((B45-ups-margin)/eta)^(beta-1))*(EXP(-1*(((B45-ups-margin)/eta)^beta)))),0)</f>
        <v>0</v>
      </c>
      <c r="G45" s="25">
        <f t="shared" si="5"/>
        <v>0</v>
      </c>
      <c r="H45" s="26">
        <f t="shared" si="3"/>
        <v>0.999</v>
      </c>
    </row>
    <row r="46" spans="1:8" x14ac:dyDescent="0.25">
      <c r="A46">
        <f t="shared" si="4"/>
        <v>2008</v>
      </c>
      <c r="B46">
        <f t="shared" si="0"/>
        <v>24</v>
      </c>
      <c r="D46" s="25">
        <f t="shared" si="1"/>
        <v>4.6817834180050137E-2</v>
      </c>
      <c r="E46" s="25">
        <f t="shared" si="2"/>
        <v>0.20083787295725547</v>
      </c>
      <c r="F46" s="25">
        <f>IF(B46&gt;=ups+margin,((beta/eta)*(((B46-ups-margin)/eta)^(beta-1))*(EXP(-1*(((B46-ups-margin)/eta)^beta)))),0)</f>
        <v>0</v>
      </c>
      <c r="G46" s="25">
        <f t="shared" si="5"/>
        <v>0</v>
      </c>
      <c r="H46" s="26">
        <f t="shared" si="3"/>
        <v>0.999</v>
      </c>
    </row>
    <row r="47" spans="1:8" x14ac:dyDescent="0.25">
      <c r="A47">
        <f t="shared" si="4"/>
        <v>2009</v>
      </c>
      <c r="B47">
        <f t="shared" si="0"/>
        <v>25</v>
      </c>
      <c r="D47" s="25">
        <f t="shared" si="1"/>
        <v>5.4080896740165883E-2</v>
      </c>
      <c r="E47" s="25">
        <f t="shared" si="2"/>
        <v>0.25491876969742133</v>
      </c>
      <c r="F47" s="25">
        <f>IF(B47&gt;=ups+margin,((beta/eta)*(((B47-ups-margin)/eta)^(beta-1))*(EXP(-1*(((B47-ups-margin)/eta)^beta)))),0)</f>
        <v>0</v>
      </c>
      <c r="G47" s="25">
        <f t="shared" si="5"/>
        <v>0</v>
      </c>
      <c r="H47" s="26">
        <f t="shared" si="3"/>
        <v>0.999</v>
      </c>
    </row>
    <row r="48" spans="1:8" x14ac:dyDescent="0.25">
      <c r="A48">
        <f t="shared" si="4"/>
        <v>2010</v>
      </c>
      <c r="B48">
        <f t="shared" si="0"/>
        <v>26</v>
      </c>
      <c r="D48" s="25">
        <f t="shared" si="1"/>
        <v>6.0725835032205043E-2</v>
      </c>
      <c r="E48" s="25">
        <f t="shared" si="2"/>
        <v>0.31564460472962635</v>
      </c>
      <c r="F48" s="25">
        <f>IF(B48&gt;=ups+margin,((beta/eta)*(((B48-ups-margin)/eta)^(beta-1))*(EXP(-1*(((B48-ups-margin)/eta)^beta)))),0)</f>
        <v>0</v>
      </c>
      <c r="G48" s="25">
        <f t="shared" si="5"/>
        <v>0</v>
      </c>
      <c r="H48" s="26">
        <f t="shared" si="3"/>
        <v>0.999</v>
      </c>
    </row>
    <row r="49" spans="1:8" x14ac:dyDescent="0.25">
      <c r="A49">
        <f t="shared" si="4"/>
        <v>2011</v>
      </c>
      <c r="B49">
        <f t="shared" si="0"/>
        <v>27</v>
      </c>
      <c r="D49" s="25">
        <f t="shared" si="1"/>
        <v>6.6282649607952368E-2</v>
      </c>
      <c r="E49" s="25">
        <f t="shared" si="2"/>
        <v>0.38192725433757874</v>
      </c>
      <c r="F49" s="25">
        <f>IF(B49&gt;=ups+margin,((beta/eta)*(((B49-ups-margin)/eta)^(beta-1))*(EXP(-1*(((B49-ups-margin)/eta)^beta)))),0)</f>
        <v>0</v>
      </c>
      <c r="G49" s="25">
        <f t="shared" si="5"/>
        <v>0</v>
      </c>
      <c r="H49" s="26">
        <f t="shared" si="3"/>
        <v>0.999</v>
      </c>
    </row>
    <row r="50" spans="1:8" x14ac:dyDescent="0.25">
      <c r="A50">
        <f t="shared" si="4"/>
        <v>2012</v>
      </c>
      <c r="B50">
        <f t="shared" si="0"/>
        <v>28</v>
      </c>
      <c r="D50" s="25">
        <f t="shared" si="1"/>
        <v>7.029627985873417E-2</v>
      </c>
      <c r="E50" s="25">
        <f>IF((B50&gt;ups),IF(E49+D50&gt;1,1,E49+D50),0)</f>
        <v>0.45222353419631289</v>
      </c>
      <c r="F50" s="25">
        <f>IF(B50&gt;=ups+margin,((beta/eta)*(((B50-ups-margin)/eta)^(beta-1))*(EXP(-1*(((B50-ups-margin)/eta)^beta)))),0)</f>
        <v>0</v>
      </c>
      <c r="G50" s="25">
        <f t="shared" si="5"/>
        <v>0</v>
      </c>
      <c r="H50" s="26">
        <f t="shared" si="3"/>
        <v>0.999</v>
      </c>
    </row>
    <row r="51" spans="1:8" x14ac:dyDescent="0.25">
      <c r="A51">
        <f t="shared" si="4"/>
        <v>2013</v>
      </c>
      <c r="B51">
        <f t="shared" si="0"/>
        <v>29</v>
      </c>
      <c r="D51" s="25">
        <f t="shared" si="1"/>
        <v>7.238090544678577E-2</v>
      </c>
      <c r="E51" s="25">
        <f t="shared" si="2"/>
        <v>0.52460443964309866</v>
      </c>
      <c r="F51" s="25">
        <f>IF(B51&gt;=ups+margin,((beta/eta)*(((B51-ups-margin)/eta)^(beta-1))*(EXP(-1*(((B51-ups-margin)/eta)^beta)))),0)</f>
        <v>0</v>
      </c>
      <c r="G51" s="25">
        <f t="shared" si="5"/>
        <v>0</v>
      </c>
      <c r="H51" s="26">
        <f t="shared" si="3"/>
        <v>0.999</v>
      </c>
    </row>
    <row r="52" spans="1:8" x14ac:dyDescent="0.25">
      <c r="A52">
        <f t="shared" si="4"/>
        <v>2014</v>
      </c>
      <c r="B52">
        <f t="shared" si="0"/>
        <v>30</v>
      </c>
      <c r="D52" s="25">
        <f t="shared" si="1"/>
        <v>7.2276413851008109E-2</v>
      </c>
      <c r="E52" s="25">
        <f t="shared" si="2"/>
        <v>0.5968808534941068</v>
      </c>
      <c r="F52" s="25">
        <f>IF(B52&gt;=ups+margin,((beta/eta)*(((B52-ups-margin)/eta)^(beta-1))*(EXP(-1*(((B52-ups-margin)/eta)^beta)))),0)</f>
        <v>0</v>
      </c>
      <c r="G52" s="25">
        <f t="shared" si="5"/>
        <v>0</v>
      </c>
      <c r="H52" s="26">
        <f t="shared" si="3"/>
        <v>0.999</v>
      </c>
    </row>
    <row r="53" spans="1:8" x14ac:dyDescent="0.25">
      <c r="A53">
        <f t="shared" si="4"/>
        <v>2015</v>
      </c>
      <c r="B53">
        <f t="shared" si="0"/>
        <v>31</v>
      </c>
      <c r="D53" s="25">
        <f t="shared" si="1"/>
        <v>6.9897093822574044E-2</v>
      </c>
      <c r="E53" s="25">
        <f t="shared" si="2"/>
        <v>0.66677794731668083</v>
      </c>
      <c r="F53" s="25">
        <f>IF(B53&gt;=ups+margin,((beta/eta)*(((B53-ups-margin)/eta)^(beta-1))*(EXP(-1*(((B53-ups-margin)/eta)^beta)))),0)</f>
        <v>0</v>
      </c>
      <c r="G53" s="25">
        <f t="shared" si="5"/>
        <v>0</v>
      </c>
      <c r="H53" s="26">
        <f t="shared" si="3"/>
        <v>0.999</v>
      </c>
    </row>
    <row r="54" spans="1:8" x14ac:dyDescent="0.25">
      <c r="A54">
        <f t="shared" si="4"/>
        <v>2016</v>
      </c>
      <c r="B54">
        <f t="shared" si="0"/>
        <v>32</v>
      </c>
      <c r="D54" s="25">
        <f t="shared" si="1"/>
        <v>6.5361509780141283E-2</v>
      </c>
      <c r="E54" s="25">
        <f t="shared" si="2"/>
        <v>0.73213945709682215</v>
      </c>
      <c r="F54" s="25">
        <f>IF(B54&gt;=ups+margin,((beta/eta)*(((B54-ups-margin)/eta)^(beta-1))*(EXP(-1*(((B54-ups-margin)/eta)^beta)))),0)</f>
        <v>1.658211173745665E-5</v>
      </c>
      <c r="G54" s="25">
        <f t="shared" si="5"/>
        <v>1.658211173745665E-5</v>
      </c>
      <c r="H54" s="26">
        <f t="shared" si="3"/>
        <v>0.9989834344703743</v>
      </c>
    </row>
    <row r="55" spans="1:8" x14ac:dyDescent="0.25">
      <c r="A55">
        <f t="shared" si="4"/>
        <v>2017</v>
      </c>
      <c r="B55">
        <f t="shared" si="0"/>
        <v>33</v>
      </c>
      <c r="D55" s="25">
        <f t="shared" ref="D55:D86" si="6">IF(B55&gt;=ups,((beta/eta)*(((B55-ups)/eta)^(beta-1))*(EXP(-1*(((B55-ups)/eta)^beta)))),0)</f>
        <v>5.8994073282426854E-2</v>
      </c>
      <c r="E55" s="25">
        <f t="shared" ref="E55:E86" si="7">IF((B55&gt;ups),IF(E54+D55&gt;1,1,E54+D55),0)</f>
        <v>0.79113353037924905</v>
      </c>
      <c r="F55" s="25">
        <f>IF(B55&gt;=ups+margin,((beta/eta)*(((B55-ups-margin)/eta)^(beta-1))*(EXP(-1*(((B55-ups-margin)/eta)^beta)))),0)</f>
        <v>1.942333557249858E-4</v>
      </c>
      <c r="G55" s="25">
        <f t="shared" si="5"/>
        <v>2.1081546746244245E-4</v>
      </c>
      <c r="H55" s="26">
        <f t="shared" ref="H55:H86" si="8">IF(B55&lt;=(ups+margin),alloc,IF(F55&gt;0,H54-alloc*F55,0))</f>
        <v>0.99878939534800504</v>
      </c>
    </row>
    <row r="56" spans="1:8" x14ac:dyDescent="0.25">
      <c r="A56">
        <f t="shared" si="4"/>
        <v>2018</v>
      </c>
      <c r="B56">
        <f t="shared" si="0"/>
        <v>34</v>
      </c>
      <c r="D56" s="25">
        <f t="shared" si="6"/>
        <v>5.1293457214545334E-2</v>
      </c>
      <c r="E56" s="25">
        <f t="shared" si="7"/>
        <v>0.84242698759379442</v>
      </c>
      <c r="F56" s="25">
        <f>IF(B56&gt;=ups+margin,((beta/eta)*(((B56-ups-margin)/eta)^(beta-1))*(EXP(-1*(((B56-ups-margin)/eta)^beta)))),0)</f>
        <v>7.0474217546966523E-4</v>
      </c>
      <c r="G56" s="25">
        <f t="shared" ref="G56:G87" si="9">IF(B56&lt;=ups+margin,0,IF(F56=0,1,G55+F56))</f>
        <v>9.1555764293210773E-4</v>
      </c>
      <c r="H56" s="26">
        <f t="shared" si="8"/>
        <v>0.99808535791471087</v>
      </c>
    </row>
    <row r="57" spans="1:8" x14ac:dyDescent="0.25">
      <c r="A57">
        <f t="shared" si="4"/>
        <v>2019</v>
      </c>
      <c r="B57">
        <f t="shared" si="0"/>
        <v>35</v>
      </c>
      <c r="D57" s="25">
        <f t="shared" si="6"/>
        <v>4.2870110359260964E-2</v>
      </c>
      <c r="E57" s="25">
        <f t="shared" si="7"/>
        <v>0.88529709795305533</v>
      </c>
      <c r="F57" s="25">
        <f>IF(B57&gt;=ups+margin,((beta/eta)*(((B57-ups-margin)/eta)^(beta-1))*(EXP(-1*(((B57-ups-margin)/eta)^beta)))),0)</f>
        <v>1.6960696852562575E-3</v>
      </c>
      <c r="G57" s="25">
        <f t="shared" si="9"/>
        <v>2.6116273281883654E-3</v>
      </c>
      <c r="H57" s="26">
        <f t="shared" si="8"/>
        <v>0.99639098429913986</v>
      </c>
    </row>
    <row r="58" spans="1:8" x14ac:dyDescent="0.25">
      <c r="A58">
        <f t="shared" si="4"/>
        <v>2020</v>
      </c>
      <c r="B58">
        <f t="shared" si="0"/>
        <v>36</v>
      </c>
      <c r="D58" s="25">
        <f t="shared" si="6"/>
        <v>3.436302204450814E-2</v>
      </c>
      <c r="E58" s="25">
        <f t="shared" si="7"/>
        <v>0.91966011999756347</v>
      </c>
      <c r="F58" s="25">
        <f>IF(B58&gt;=ups+margin,((beta/eta)*(((B58-ups-margin)/eta)^(beta-1))*(EXP(-1*(((B58-ups-margin)/eta)^beta)))),0)</f>
        <v>3.3005137497444095E-3</v>
      </c>
      <c r="G58" s="25">
        <f t="shared" si="9"/>
        <v>5.9121410779327749E-3</v>
      </c>
      <c r="H58" s="26">
        <f t="shared" si="8"/>
        <v>0.99309377106314523</v>
      </c>
    </row>
    <row r="59" spans="1:8" x14ac:dyDescent="0.25">
      <c r="A59">
        <f t="shared" si="4"/>
        <v>2021</v>
      </c>
      <c r="B59">
        <f t="shared" si="0"/>
        <v>37</v>
      </c>
      <c r="D59" s="25">
        <f t="shared" si="6"/>
        <v>2.6352090719282753E-2</v>
      </c>
      <c r="E59" s="25">
        <f t="shared" si="7"/>
        <v>0.94601221071684627</v>
      </c>
      <c r="F59" s="25">
        <f>IF(B59&gt;=ups+margin,((beta/eta)*(((B59-ups-margin)/eta)^(beta-1))*(EXP(-1*(((B59-ups-margin)/eta)^beta)))),0)</f>
        <v>5.6334399342838548E-3</v>
      </c>
      <c r="G59" s="25">
        <f t="shared" si="9"/>
        <v>1.154558101221663E-2</v>
      </c>
      <c r="H59" s="26">
        <f t="shared" si="8"/>
        <v>0.98746596456879565</v>
      </c>
    </row>
    <row r="60" spans="1:8" x14ac:dyDescent="0.25">
      <c r="A60">
        <f t="shared" si="4"/>
        <v>2022</v>
      </c>
      <c r="B60">
        <f t="shared" si="0"/>
        <v>38</v>
      </c>
      <c r="D60" s="25">
        <f t="shared" si="6"/>
        <v>1.9284575522374146E-2</v>
      </c>
      <c r="E60" s="25">
        <f t="shared" si="7"/>
        <v>0.96529678623922044</v>
      </c>
      <c r="F60" s="25">
        <f>IF(B60&gt;=ups+margin,((beta/eta)*(((B60-ups-margin)/eta)^(beta-1))*(EXP(-1*(((B60-ups-margin)/eta)^beta)))),0)</f>
        <v>8.7876490213695188E-3</v>
      </c>
      <c r="G60" s="25">
        <f t="shared" si="9"/>
        <v>2.0333230033586148E-2</v>
      </c>
      <c r="H60" s="26">
        <f t="shared" si="8"/>
        <v>0.97868710319644747</v>
      </c>
    </row>
    <row r="61" spans="1:8" x14ac:dyDescent="0.25">
      <c r="A61">
        <f t="shared" si="4"/>
        <v>2023</v>
      </c>
      <c r="B61">
        <f t="shared" si="0"/>
        <v>39</v>
      </c>
      <c r="D61" s="25">
        <f t="shared" si="6"/>
        <v>1.343090155866531E-2</v>
      </c>
      <c r="E61" s="25">
        <f t="shared" si="7"/>
        <v>0.97872768779788577</v>
      </c>
      <c r="F61" s="25">
        <f>IF(B61&gt;=ups+margin,((beta/eta)*(((B61-ups-margin)/eta)^(beta-1))*(EXP(-1*(((B61-ups-margin)/eta)^beta)))),0)</f>
        <v>1.2824429372585032E-2</v>
      </c>
      <c r="G61" s="25">
        <f t="shared" si="9"/>
        <v>3.3157659406171179E-2</v>
      </c>
      <c r="H61" s="26">
        <f t="shared" si="8"/>
        <v>0.96587549825323504</v>
      </c>
    </row>
    <row r="62" spans="1:8" x14ac:dyDescent="0.25">
      <c r="A62">
        <f t="shared" si="4"/>
        <v>2024</v>
      </c>
      <c r="B62">
        <f t="shared" si="0"/>
        <v>40</v>
      </c>
      <c r="D62" s="25">
        <f t="shared" si="6"/>
        <v>8.8772031314427267E-3</v>
      </c>
      <c r="E62" s="25">
        <f t="shared" si="7"/>
        <v>0.98760489092932846</v>
      </c>
      <c r="F62" s="25">
        <f>IF(B62&gt;=ups+margin,((beta/eta)*(((B62-ups-margin)/eta)^(beta-1))*(EXP(-1*(((B62-ups-margin)/eta)^beta)))),0)</f>
        <v>1.7762002948699038E-2</v>
      </c>
      <c r="G62" s="25">
        <f t="shared" si="9"/>
        <v>5.0919662354870221E-2</v>
      </c>
      <c r="H62" s="26">
        <f t="shared" si="8"/>
        <v>0.94813125730748471</v>
      </c>
    </row>
    <row r="63" spans="1:8" x14ac:dyDescent="0.25">
      <c r="A63">
        <f t="shared" si="4"/>
        <v>2025</v>
      </c>
      <c r="B63">
        <f t="shared" si="0"/>
        <v>41</v>
      </c>
      <c r="D63" s="25">
        <f t="shared" si="6"/>
        <v>5.551982510020528E-3</v>
      </c>
      <c r="E63" s="25">
        <f t="shared" si="7"/>
        <v>0.993156873439349</v>
      </c>
      <c r="F63" s="25">
        <f>IF(B63&gt;=ups+margin,((beta/eta)*(((B63-ups-margin)/eta)^(beta-1))*(EXP(-1*(((B63-ups-margin)/eta)^beta)))),0)</f>
        <v>2.3562390142792603E-2</v>
      </c>
      <c r="G63" s="25">
        <f t="shared" si="9"/>
        <v>7.4482052497662821E-2</v>
      </c>
      <c r="H63" s="26">
        <f t="shared" si="8"/>
        <v>0.92459242955483489</v>
      </c>
    </row>
    <row r="64" spans="1:8" x14ac:dyDescent="0.25">
      <c r="A64">
        <f t="shared" si="4"/>
        <v>2026</v>
      </c>
      <c r="B64">
        <f t="shared" si="0"/>
        <v>42</v>
      </c>
      <c r="D64" s="25">
        <f t="shared" si="6"/>
        <v>3.2756464649333428E-3</v>
      </c>
      <c r="E64" s="25">
        <f t="shared" si="7"/>
        <v>0.99643251990428239</v>
      </c>
      <c r="F64" s="25">
        <f>IF(B64&gt;=ups+margin,((beta/eta)*(((B64-ups-margin)/eta)^(beta-1))*(EXP(-1*(((B64-ups-margin)/eta)^beta)))),0)</f>
        <v>3.011829380601521E-2</v>
      </c>
      <c r="G64" s="25">
        <f t="shared" si="9"/>
        <v>0.10460034630367804</v>
      </c>
      <c r="H64" s="26">
        <f t="shared" si="8"/>
        <v>0.89450425404262568</v>
      </c>
    </row>
    <row r="65" spans="1:8" x14ac:dyDescent="0.25">
      <c r="A65">
        <f t="shared" si="4"/>
        <v>2027</v>
      </c>
      <c r="B65">
        <f t="shared" si="0"/>
        <v>43</v>
      </c>
      <c r="D65" s="25">
        <f t="shared" si="6"/>
        <v>1.8174046258224311E-3</v>
      </c>
      <c r="E65" s="25">
        <f t="shared" si="7"/>
        <v>0.99824992453010486</v>
      </c>
      <c r="F65" s="25">
        <f>IF(B65&gt;=ups+margin,((beta/eta)*(((B65-ups-margin)/eta)^(beta-1))*(EXP(-1*(((B65-ups-margin)/eta)^beta)))),0)</f>
        <v>3.7242283536262494E-2</v>
      </c>
      <c r="G65" s="25">
        <f t="shared" si="9"/>
        <v>0.14184262983994053</v>
      </c>
      <c r="H65" s="26">
        <f t="shared" si="8"/>
        <v>0.8572992127898994</v>
      </c>
    </row>
    <row r="66" spans="1:8" x14ac:dyDescent="0.25">
      <c r="A66">
        <f t="shared" si="4"/>
        <v>2028</v>
      </c>
      <c r="B66">
        <f t="shared" si="0"/>
        <v>44</v>
      </c>
      <c r="D66" s="25">
        <f t="shared" si="6"/>
        <v>9.4513653405663275E-4</v>
      </c>
      <c r="E66" s="25">
        <f t="shared" si="7"/>
        <v>0.99919506106416145</v>
      </c>
      <c r="F66" s="25">
        <f>IF(B66&gt;=ups+margin,((beta/eta)*(((B66-ups-margin)/eta)^(beta-1))*(EXP(-1*(((B66-ups-margin)/eta)^beta)))),0)</f>
        <v>4.466118355191185E-2</v>
      </c>
      <c r="G66" s="25">
        <f t="shared" si="9"/>
        <v>0.18650381339185237</v>
      </c>
      <c r="H66" s="26">
        <f t="shared" si="8"/>
        <v>0.81268269042153951</v>
      </c>
    </row>
    <row r="67" spans="1:8" x14ac:dyDescent="0.25">
      <c r="A67">
        <f t="shared" si="4"/>
        <v>2029</v>
      </c>
      <c r="B67">
        <f t="shared" si="0"/>
        <v>45</v>
      </c>
      <c r="D67" s="25">
        <f t="shared" si="6"/>
        <v>4.5915951946767249E-4</v>
      </c>
      <c r="E67" s="25">
        <f t="shared" si="7"/>
        <v>0.99965422058362907</v>
      </c>
      <c r="F67" s="25">
        <f>IF(B67&gt;=ups+margin,((beta/eta)*(((B67-ups-margin)/eta)^(beta-1))*(EXP(-1*(((B67-ups-margin)/eta)^beta)))),0)</f>
        <v>5.2018910530545116E-2</v>
      </c>
      <c r="G67" s="25">
        <f t="shared" si="9"/>
        <v>0.23852272392239748</v>
      </c>
      <c r="H67" s="26">
        <f t="shared" si="8"/>
        <v>0.76071579880152496</v>
      </c>
    </row>
    <row r="68" spans="1:8" x14ac:dyDescent="0.25">
      <c r="A68">
        <f t="shared" si="4"/>
        <v>2030</v>
      </c>
      <c r="B68">
        <f t="shared" si="0"/>
        <v>46</v>
      </c>
      <c r="D68" s="25">
        <f t="shared" si="6"/>
        <v>2.0765995754710626E-4</v>
      </c>
      <c r="E68" s="25">
        <f t="shared" si="7"/>
        <v>0.9998618805411762</v>
      </c>
      <c r="F68" s="25">
        <f>IF(B68&gt;=ups+margin,((beta/eta)*(((B68-ups-margin)/eta)^(beta-1))*(EXP(-1*(((B68-ups-margin)/eta)^beta)))),0)</f>
        <v>5.8890804052830231E-2</v>
      </c>
      <c r="G68" s="25">
        <f t="shared" si="9"/>
        <v>0.29741352797522769</v>
      </c>
      <c r="H68" s="26">
        <f t="shared" si="8"/>
        <v>0.70188388555274761</v>
      </c>
    </row>
    <row r="69" spans="1:8" x14ac:dyDescent="0.25">
      <c r="A69">
        <f t="shared" si="4"/>
        <v>2031</v>
      </c>
      <c r="B69">
        <f t="shared" si="0"/>
        <v>47</v>
      </c>
      <c r="D69" s="25">
        <f t="shared" si="6"/>
        <v>8.7119060829025916E-5</v>
      </c>
      <c r="E69" s="25">
        <f t="shared" si="7"/>
        <v>0.99994899960200523</v>
      </c>
      <c r="F69" s="25">
        <f>IF(B69&gt;=ups+margin,((beta/eta)*(((B69-ups-margin)/eta)^(beta-1))*(EXP(-1*(((B69-ups-margin)/eta)^beta)))),0)</f>
        <v>6.4811480936879079E-2</v>
      </c>
      <c r="G69" s="25">
        <f t="shared" si="9"/>
        <v>0.36222500891210674</v>
      </c>
      <c r="H69" s="26">
        <f t="shared" si="8"/>
        <v>0.6371372160968054</v>
      </c>
    </row>
    <row r="70" spans="1:8" x14ac:dyDescent="0.25">
      <c r="A70">
        <f t="shared" si="4"/>
        <v>2032</v>
      </c>
      <c r="B70">
        <f t="shared" si="0"/>
        <v>48</v>
      </c>
      <c r="D70" s="25">
        <f t="shared" si="6"/>
        <v>3.3779555713960813E-5</v>
      </c>
      <c r="E70" s="25">
        <f t="shared" si="7"/>
        <v>0.99998277915771916</v>
      </c>
      <c r="F70" s="25">
        <f>IF(B70&gt;=ups+margin,((beta/eta)*(((B70-ups-margin)/eta)^(beta-1))*(EXP(-1*(((B70-ups-margin)/eta)^beta)))),0)</f>
        <v>6.9316267628178704E-2</v>
      </c>
      <c r="G70" s="25">
        <f t="shared" si="9"/>
        <v>0.43154127654028546</v>
      </c>
      <c r="H70" s="26">
        <f t="shared" si="8"/>
        <v>0.56789026473625492</v>
      </c>
    </row>
    <row r="71" spans="1:8" x14ac:dyDescent="0.25">
      <c r="A71">
        <f t="shared" si="4"/>
        <v>2033</v>
      </c>
      <c r="B71">
        <f t="shared" si="0"/>
        <v>49</v>
      </c>
      <c r="D71" s="25">
        <f t="shared" si="6"/>
        <v>1.2059873219988625E-5</v>
      </c>
      <c r="E71" s="25">
        <f t="shared" si="7"/>
        <v>0.99999483903093911</v>
      </c>
      <c r="F71" s="25">
        <f>IF(B71&gt;=ups+margin,((beta/eta)*(((B71-ups-margin)/eta)^(beta-1))*(EXP(-1*(((B71-ups-margin)/eta)^beta)))),0)</f>
        <v>7.1993389999004842E-2</v>
      </c>
      <c r="G71" s="25">
        <f t="shared" si="9"/>
        <v>0.50353466653929035</v>
      </c>
      <c r="H71" s="26">
        <f t="shared" si="8"/>
        <v>0.49596886812724911</v>
      </c>
    </row>
    <row r="72" spans="1:8" x14ac:dyDescent="0.25">
      <c r="A72">
        <f t="shared" si="4"/>
        <v>2034</v>
      </c>
      <c r="B72">
        <f t="shared" si="0"/>
        <v>50</v>
      </c>
      <c r="D72" s="25">
        <f t="shared" si="6"/>
        <v>3.9491776612784489E-6</v>
      </c>
      <c r="E72" s="25">
        <f t="shared" si="7"/>
        <v>0.99999878820860044</v>
      </c>
      <c r="F72" s="25">
        <f>IF(B72&gt;=ups+margin,((beta/eta)*(((B72-ups-margin)/eta)^(beta-1))*(EXP(-1*(((B72-ups-margin)/eta)^beta)))),0)</f>
        <v>7.2540734653933736E-2</v>
      </c>
      <c r="G72" s="25">
        <f t="shared" si="9"/>
        <v>0.57607540119322409</v>
      </c>
      <c r="H72" s="26">
        <f t="shared" si="8"/>
        <v>0.42350067420796933</v>
      </c>
    </row>
    <row r="73" spans="1:8" x14ac:dyDescent="0.25">
      <c r="A73">
        <f t="shared" si="4"/>
        <v>2035</v>
      </c>
      <c r="B73">
        <f t="shared" si="0"/>
        <v>51</v>
      </c>
      <c r="D73" s="25">
        <f t="shared" si="6"/>
        <v>1.1814971955094589E-6</v>
      </c>
      <c r="E73" s="25">
        <f t="shared" si="7"/>
        <v>0.99999996970579597</v>
      </c>
      <c r="F73" s="25">
        <f>IF(B73&gt;=ups+margin,((beta/eta)*(((B73-ups-margin)/eta)^(beta-1))*(EXP(-1*(((B73-ups-margin)/eta)^beta)))),0)</f>
        <v>7.0817926916874482E-2</v>
      </c>
      <c r="G73" s="25">
        <f t="shared" si="9"/>
        <v>0.64689332811009859</v>
      </c>
      <c r="H73" s="26">
        <f t="shared" si="8"/>
        <v>0.35275356521801171</v>
      </c>
    </row>
    <row r="74" spans="1:8" x14ac:dyDescent="0.25">
      <c r="A74">
        <f t="shared" si="4"/>
        <v>2036</v>
      </c>
      <c r="B74">
        <f t="shared" si="0"/>
        <v>52</v>
      </c>
      <c r="D74" s="25">
        <f t="shared" si="6"/>
        <v>3.2163865392663451E-7</v>
      </c>
      <c r="E74" s="25">
        <f t="shared" si="7"/>
        <v>1</v>
      </c>
      <c r="F74" s="25">
        <f>IF(B74&gt;=ups+margin,((beta/eta)*(((B74-ups-margin)/eta)^(beta-1))*(EXP(-1*(((B74-ups-margin)/eta)^beta)))),0)</f>
        <v>6.688276299501579E-2</v>
      </c>
      <c r="G74" s="25">
        <f t="shared" si="9"/>
        <v>0.71377609110511442</v>
      </c>
      <c r="H74" s="26">
        <f t="shared" si="8"/>
        <v>0.28593768498599093</v>
      </c>
    </row>
    <row r="75" spans="1:8" x14ac:dyDescent="0.25">
      <c r="A75">
        <f t="shared" si="4"/>
        <v>2037</v>
      </c>
      <c r="B75">
        <f t="shared" si="0"/>
        <v>53</v>
      </c>
      <c r="D75" s="25">
        <f t="shared" si="6"/>
        <v>7.9345382177066503E-8</v>
      </c>
      <c r="E75" s="25">
        <f t="shared" si="7"/>
        <v>1</v>
      </c>
      <c r="F75" s="25">
        <f>IF(B75&gt;=ups+margin,((beta/eta)*(((B75-ups-margin)/eta)^(beta-1))*(EXP(-1*(((B75-ups-margin)/eta)^beta)))),0)</f>
        <v>6.1001746190842282E-2</v>
      </c>
      <c r="G75" s="25">
        <f t="shared" si="9"/>
        <v>0.77477783729595673</v>
      </c>
      <c r="H75" s="26">
        <f t="shared" si="8"/>
        <v>0.22499694054133948</v>
      </c>
    </row>
    <row r="76" spans="1:8" x14ac:dyDescent="0.25">
      <c r="A76">
        <f t="shared" si="4"/>
        <v>2038</v>
      </c>
      <c r="B76">
        <f t="shared" si="0"/>
        <v>54</v>
      </c>
      <c r="D76" s="25">
        <f t="shared" si="6"/>
        <v>1.766292823331066E-8</v>
      </c>
      <c r="E76" s="25">
        <f t="shared" si="7"/>
        <v>1</v>
      </c>
      <c r="F76" s="25">
        <f>IF(B76&gt;=ups+margin,((beta/eta)*(((B76-ups-margin)/eta)^(beta-1))*(EXP(-1*(((B76-ups-margin)/eta)^beta)))),0)</f>
        <v>5.3628227861185152E-2</v>
      </c>
      <c r="G76" s="25">
        <f t="shared" si="9"/>
        <v>0.82840606515714188</v>
      </c>
      <c r="H76" s="26">
        <f t="shared" si="8"/>
        <v>0.1714223409080155</v>
      </c>
    </row>
    <row r="77" spans="1:8" x14ac:dyDescent="0.25">
      <c r="A77">
        <f t="shared" si="4"/>
        <v>2039</v>
      </c>
      <c r="B77">
        <f t="shared" si="0"/>
        <v>55</v>
      </c>
      <c r="D77" s="25">
        <f t="shared" si="6"/>
        <v>3.5328315083561564E-9</v>
      </c>
      <c r="E77" s="25">
        <f t="shared" si="7"/>
        <v>1</v>
      </c>
      <c r="F77" s="25">
        <f>IF(B77&gt;=ups+margin,((beta/eta)*(((B77-ups-margin)/eta)^(beta-1))*(EXP(-1*(((B77-ups-margin)/eta)^beta)))),0)</f>
        <v>4.5348174074829647E-2</v>
      </c>
      <c r="G77" s="25">
        <f t="shared" si="9"/>
        <v>0.87375423923197149</v>
      </c>
      <c r="H77" s="26">
        <f t="shared" si="8"/>
        <v>0.12611951500726068</v>
      </c>
    </row>
    <row r="78" spans="1:8" x14ac:dyDescent="0.25">
      <c r="A78">
        <f t="shared" si="4"/>
        <v>2040</v>
      </c>
      <c r="B78">
        <f t="shared" si="0"/>
        <v>56</v>
      </c>
      <c r="D78" s="25">
        <f t="shared" si="6"/>
        <v>6.3211491860417221E-10</v>
      </c>
      <c r="E78" s="25">
        <f t="shared" si="7"/>
        <v>1</v>
      </c>
      <c r="F78" s="25">
        <f>IF(B78&gt;=ups+margin,((beta/eta)*(((B78-ups-margin)/eta)^(beta-1))*(EXP(-1*(((B78-ups-margin)/eta)^beta)))),0)</f>
        <v>3.6801477175071554E-2</v>
      </c>
      <c r="G78" s="25">
        <f t="shared" si="9"/>
        <v>0.91055571640704303</v>
      </c>
      <c r="H78" s="26">
        <f t="shared" si="8"/>
        <v>8.9354839309364192E-2</v>
      </c>
    </row>
    <row r="79" spans="1:8" x14ac:dyDescent="0.25">
      <c r="A79">
        <f t="shared" si="4"/>
        <v>2041</v>
      </c>
      <c r="B79">
        <f t="shared" si="0"/>
        <v>57</v>
      </c>
      <c r="D79" s="25">
        <f t="shared" si="6"/>
        <v>1.0072523749123512E-10</v>
      </c>
      <c r="E79" s="25">
        <f t="shared" si="7"/>
        <v>1</v>
      </c>
      <c r="F79" s="25">
        <f>IF(B79&gt;=ups+margin,((beta/eta)*(((B79-ups-margin)/eta)^(beta-1))*(EXP(-1*(((B79-ups-margin)/eta)^beta)))),0)</f>
        <v>2.8593694178295524E-2</v>
      </c>
      <c r="G79" s="25">
        <f t="shared" si="9"/>
        <v>0.93914941058533852</v>
      </c>
      <c r="H79" s="26">
        <f t="shared" si="8"/>
        <v>6.0789738825246964E-2</v>
      </c>
    </row>
    <row r="80" spans="1:8" x14ac:dyDescent="0.25">
      <c r="A80">
        <f t="shared" si="4"/>
        <v>2042</v>
      </c>
      <c r="B80">
        <f t="shared" si="0"/>
        <v>58</v>
      </c>
      <c r="D80" s="25">
        <f t="shared" si="6"/>
        <v>1.4228817529802939E-11</v>
      </c>
      <c r="E80" s="25">
        <f t="shared" si="7"/>
        <v>1</v>
      </c>
      <c r="F80" s="25">
        <f>IF(B80&gt;=ups+margin,((beta/eta)*(((B80-ups-margin)/eta)^(beta-1))*(EXP(-1*(((B80-ups-margin)/eta)^beta)))),0)</f>
        <v>2.121660021498796E-2</v>
      </c>
      <c r="G80" s="25">
        <f t="shared" si="9"/>
        <v>0.96036601080032646</v>
      </c>
      <c r="H80" s="26">
        <f t="shared" si="8"/>
        <v>3.959435521047399E-2</v>
      </c>
    </row>
    <row r="81" spans="1:8" x14ac:dyDescent="0.25">
      <c r="A81">
        <f t="shared" si="4"/>
        <v>2043</v>
      </c>
      <c r="B81">
        <f t="shared" si="0"/>
        <v>59</v>
      </c>
      <c r="D81" s="25">
        <f t="shared" si="6"/>
        <v>1.7736578139149501E-12</v>
      </c>
      <c r="E81" s="25">
        <f t="shared" si="7"/>
        <v>1</v>
      </c>
      <c r="F81" s="25">
        <f>IF(B81&gt;=ups+margin,((beta/eta)*(((B81-ups-margin)/eta)^(beta-1))*(EXP(-1*(((B81-ups-margin)/eta)^beta)))),0)</f>
        <v>1.4994308027823946E-2</v>
      </c>
      <c r="G81" s="25">
        <f t="shared" si="9"/>
        <v>0.97536031882815044</v>
      </c>
      <c r="H81" s="26">
        <f t="shared" si="8"/>
        <v>2.4615041490677871E-2</v>
      </c>
    </row>
    <row r="82" spans="1:8" x14ac:dyDescent="0.25">
      <c r="A82">
        <f t="shared" si="4"/>
        <v>2044</v>
      </c>
      <c r="B82">
        <f t="shared" si="0"/>
        <v>60</v>
      </c>
      <c r="D82" s="25">
        <f t="shared" si="6"/>
        <v>1.9417221842113231E-13</v>
      </c>
      <c r="E82" s="25">
        <f t="shared" si="7"/>
        <v>1</v>
      </c>
      <c r="F82" s="25">
        <f>IF(B82&gt;=ups+margin,((beta/eta)*(((B82-ups-margin)/eta)^(beta-1))*(EXP(-1*(((B82-ups-margin)/eta)^beta)))),0)</f>
        <v>1.0064984752414245E-2</v>
      </c>
      <c r="G82" s="25">
        <f t="shared" si="9"/>
        <v>0.98542530358056468</v>
      </c>
      <c r="H82" s="26">
        <f t="shared" si="8"/>
        <v>1.456012172301604E-2</v>
      </c>
    </row>
    <row r="83" spans="1:8" x14ac:dyDescent="0.25">
      <c r="A83">
        <f t="shared" si="4"/>
        <v>2045</v>
      </c>
      <c r="B83">
        <f t="shared" si="0"/>
        <v>61</v>
      </c>
      <c r="D83" s="25">
        <f t="shared" si="6"/>
        <v>1.8579328155915514E-14</v>
      </c>
      <c r="E83" s="25">
        <f t="shared" si="7"/>
        <v>1</v>
      </c>
      <c r="F83" s="25">
        <f>IF(B83&gt;=ups+margin,((beta/eta)*(((B83-ups-margin)/eta)^(beta-1))*(EXP(-1*(((B83-ups-margin)/eta)^beta)))),0)</f>
        <v>6.3984595147351516E-3</v>
      </c>
      <c r="G83" s="25">
        <f t="shared" si="9"/>
        <v>0.99182376309529985</v>
      </c>
      <c r="H83" s="26">
        <f t="shared" si="8"/>
        <v>8.1680606677956222E-3</v>
      </c>
    </row>
    <row r="84" spans="1:8" x14ac:dyDescent="0.25">
      <c r="A84">
        <f t="shared" si="4"/>
        <v>2046</v>
      </c>
      <c r="B84">
        <f t="shared" si="0"/>
        <v>62</v>
      </c>
      <c r="D84" s="25">
        <f t="shared" si="6"/>
        <v>1.5462224367953753E-15</v>
      </c>
      <c r="E84" s="25">
        <f t="shared" si="7"/>
        <v>1.0000000000000016</v>
      </c>
      <c r="F84" s="25">
        <f>IF(B84&gt;=ups+margin,((beta/eta)*(((B84-ups-margin)/eta)^(beta-1))*(EXP(-1*(((B84-ups-margin)/eta)^beta)))),0)</f>
        <v>3.8406384582546594E-3</v>
      </c>
      <c r="G84" s="25">
        <f t="shared" si="9"/>
        <v>0.99566440155355451</v>
      </c>
      <c r="H84" s="26">
        <f t="shared" si="8"/>
        <v>4.3312628479992175E-3</v>
      </c>
    </row>
    <row r="85" spans="1:8" x14ac:dyDescent="0.25">
      <c r="A85">
        <f t="shared" si="4"/>
        <v>2047</v>
      </c>
      <c r="B85">
        <f t="shared" si="0"/>
        <v>63</v>
      </c>
      <c r="D85" s="25">
        <f t="shared" si="6"/>
        <v>1.1136547922419555E-16</v>
      </c>
      <c r="E85" s="25">
        <f t="shared" si="7"/>
        <v>1.0000000000000018</v>
      </c>
      <c r="F85" s="25">
        <f>IF(B85&gt;=ups+margin,((beta/eta)*(((B85-ups-margin)/eta)^(beta-1))*(EXP(-1*(((B85-ups-margin)/eta)^beta)))),0)</f>
        <v>2.1698983005613353E-3</v>
      </c>
      <c r="G85" s="25">
        <f t="shared" si="9"/>
        <v>0.99783429985411587</v>
      </c>
      <c r="H85" s="26">
        <f t="shared" si="8"/>
        <v>2.1635344457384435E-3</v>
      </c>
    </row>
    <row r="86" spans="1:8" x14ac:dyDescent="0.25">
      <c r="A86">
        <f t="shared" si="4"/>
        <v>2048</v>
      </c>
      <c r="B86">
        <f t="shared" si="0"/>
        <v>64</v>
      </c>
      <c r="D86" s="25">
        <f t="shared" si="6"/>
        <v>6.9066571391718252E-18</v>
      </c>
      <c r="E86" s="25">
        <f t="shared" si="7"/>
        <v>1.0000000000000018</v>
      </c>
      <c r="F86" s="25">
        <f>IF(B86&gt;=ups+margin,((beta/eta)*(((B86-ups-margin)/eta)^(beta-1))*(EXP(-1*(((B86-ups-margin)/eta)^beta)))),0)</f>
        <v>1.1502153025270971E-3</v>
      </c>
      <c r="G86" s="25">
        <f t="shared" si="9"/>
        <v>0.99898451515664299</v>
      </c>
      <c r="H86" s="26">
        <f t="shared" si="8"/>
        <v>1.0144693585138734E-3</v>
      </c>
    </row>
    <row r="87" spans="1:8" x14ac:dyDescent="0.25">
      <c r="A87">
        <f t="shared" si="4"/>
        <v>2049</v>
      </c>
      <c r="B87">
        <f t="shared" ref="B87:B112" si="10">A87-mfr_yr</f>
        <v>65</v>
      </c>
      <c r="D87" s="25">
        <f t="shared" ref="D87:D112" si="11">IF(B87&gt;=ups,((beta/eta)*(((B87-ups)/eta)^(beta-1))*(EXP(-1*(((B87-ups)/eta)^beta)))),0)</f>
        <v>3.6693621120106802E-19</v>
      </c>
      <c r="E87" s="25">
        <f t="shared" ref="E87:E112" si="12">IF((B87&gt;ups),IF(E86+D87&gt;1,1,E86+D87),0)</f>
        <v>1.0000000000000018</v>
      </c>
      <c r="F87" s="25">
        <f>IF(B87&gt;=ups+margin,((beta/eta)*(((B87-ups-margin)/eta)^(beta-1))*(EXP(-1*(((B87-ups-margin)/eta)^beta)))),0)</f>
        <v>5.7012934954925678E-4</v>
      </c>
      <c r="G87" s="25">
        <f t="shared" si="9"/>
        <v>0.99955464450619225</v>
      </c>
      <c r="H87" s="26">
        <f t="shared" ref="H87:H112" si="13">IF(B87&lt;=(ups+margin),alloc,IF(F87&gt;0,H86-alloc*F87,0))</f>
        <v>4.4491013831416586E-4</v>
      </c>
    </row>
    <row r="88" spans="1:8" x14ac:dyDescent="0.25">
      <c r="A88">
        <f t="shared" ref="A88:A112" si="14">A87+1</f>
        <v>2050</v>
      </c>
      <c r="B88">
        <f t="shared" si="10"/>
        <v>66</v>
      </c>
      <c r="D88" s="25">
        <f t="shared" si="11"/>
        <v>1.6613079622064395E-20</v>
      </c>
      <c r="E88" s="25">
        <f t="shared" si="12"/>
        <v>1.0000000000000018</v>
      </c>
      <c r="F88" s="25">
        <f>IF(B88&gt;=ups+margin,((beta/eta)*(((B88-ups-margin)/eta)^(beta-1))*(EXP(-1*(((B88-ups-margin)/eta)^beta)))),0)</f>
        <v>2.6334722943541444E-4</v>
      </c>
      <c r="G88" s="25">
        <f t="shared" ref="G88:G112" si="15">IF(B88&lt;=ups+margin,0,IF(F88=0,1,G87+F88))</f>
        <v>0.99981799173562769</v>
      </c>
      <c r="H88" s="26">
        <f t="shared" si="13"/>
        <v>1.8182625610818685E-4</v>
      </c>
    </row>
    <row r="89" spans="1:8" x14ac:dyDescent="0.25">
      <c r="A89">
        <f t="shared" si="14"/>
        <v>2051</v>
      </c>
      <c r="B89">
        <f t="shared" si="10"/>
        <v>67</v>
      </c>
      <c r="D89" s="25">
        <f t="shared" si="11"/>
        <v>6.3759249436118465E-22</v>
      </c>
      <c r="E89" s="25">
        <f t="shared" si="12"/>
        <v>1.0000000000000018</v>
      </c>
      <c r="F89" s="25">
        <f>IF(B89&gt;=ups+margin,((beta/eta)*(((B89-ups-margin)/eta)^(beta-1))*(EXP(-1*(((B89-ups-margin)/eta)^beta)))),0)</f>
        <v>1.129558364698184E-4</v>
      </c>
      <c r="G89" s="25">
        <f t="shared" si="15"/>
        <v>0.99993094757209755</v>
      </c>
      <c r="H89" s="26">
        <f t="shared" si="13"/>
        <v>6.8983375474838274E-5</v>
      </c>
    </row>
    <row r="90" spans="1:8" x14ac:dyDescent="0.25">
      <c r="A90">
        <f t="shared" si="14"/>
        <v>2052</v>
      </c>
      <c r="B90">
        <f t="shared" si="10"/>
        <v>68</v>
      </c>
      <c r="D90" s="25">
        <f t="shared" si="11"/>
        <v>2.0631534365980359E-23</v>
      </c>
      <c r="E90" s="25">
        <f t="shared" si="12"/>
        <v>1.0000000000000018</v>
      </c>
      <c r="F90" s="25">
        <f>IF(B90&gt;=ups+margin,((beta/eta)*(((B90-ups-margin)/eta)^(beta-1))*(EXP(-1*(((B90-ups-margin)/eta)^beta)))),0)</f>
        <v>4.4826450015520014E-5</v>
      </c>
      <c r="G90" s="25">
        <f t="shared" si="15"/>
        <v>0.99997577402211302</v>
      </c>
      <c r="H90" s="26">
        <f t="shared" si="13"/>
        <v>2.4201751909333781E-5</v>
      </c>
    </row>
    <row r="91" spans="1:8" x14ac:dyDescent="0.25">
      <c r="A91">
        <f t="shared" si="14"/>
        <v>2053</v>
      </c>
      <c r="B91">
        <f t="shared" si="10"/>
        <v>69</v>
      </c>
      <c r="D91" s="25">
        <f t="shared" si="11"/>
        <v>5.5981219773262034E-25</v>
      </c>
      <c r="E91" s="25">
        <f t="shared" si="12"/>
        <v>1.0000000000000018</v>
      </c>
      <c r="F91" s="25">
        <f>IF(B91&gt;=ups+margin,((beta/eta)*(((B91-ups-margin)/eta)^(beta-1))*(EXP(-1*(((B91-ups-margin)/eta)^beta)))),0)</f>
        <v>1.639779347224811E-5</v>
      </c>
      <c r="G91" s="25">
        <f t="shared" si="15"/>
        <v>0.99999217181558531</v>
      </c>
      <c r="H91" s="26">
        <f t="shared" si="13"/>
        <v>7.8203562305579198E-6</v>
      </c>
    </row>
    <row r="92" spans="1:8" x14ac:dyDescent="0.25">
      <c r="A92">
        <f t="shared" si="14"/>
        <v>2054</v>
      </c>
      <c r="B92">
        <f t="shared" si="10"/>
        <v>70</v>
      </c>
      <c r="D92" s="25">
        <f t="shared" si="11"/>
        <v>1.2666845658329409E-26</v>
      </c>
      <c r="E92" s="25">
        <f t="shared" si="12"/>
        <v>1.0000000000000018</v>
      </c>
      <c r="F92" s="25">
        <f>IF(B92&gt;=ups+margin,((beta/eta)*(((B92-ups-margin)/eta)^(beta-1))*(EXP(-1*(((B92-ups-margin)/eta)^beta)))),0)</f>
        <v>5.5080853230106396E-6</v>
      </c>
      <c r="G92" s="25">
        <f t="shared" si="15"/>
        <v>0.99999767990090827</v>
      </c>
      <c r="H92" s="26">
        <f t="shared" si="13"/>
        <v>2.3177789928702909E-6</v>
      </c>
    </row>
    <row r="93" spans="1:8" x14ac:dyDescent="0.25">
      <c r="A93">
        <f t="shared" si="14"/>
        <v>2055</v>
      </c>
      <c r="B93">
        <f t="shared" si="10"/>
        <v>71</v>
      </c>
      <c r="D93" s="25">
        <f t="shared" si="11"/>
        <v>2.3766675150074631E-28</v>
      </c>
      <c r="E93" s="25">
        <f t="shared" si="12"/>
        <v>1.0000000000000018</v>
      </c>
      <c r="F93" s="25">
        <f>IF(B93&gt;=ups+margin,((beta/eta)*(((B93-ups-margin)/eta)^(beta-1))*(EXP(-1*(((B93-ups-margin)/eta)^beta)))),0)</f>
        <v>1.6923049410370125E-6</v>
      </c>
      <c r="G93" s="25">
        <f t="shared" si="15"/>
        <v>0.99999937220584934</v>
      </c>
      <c r="H93" s="26">
        <f t="shared" si="13"/>
        <v>6.2716635677431542E-7</v>
      </c>
    </row>
    <row r="94" spans="1:8" x14ac:dyDescent="0.25">
      <c r="A94">
        <f t="shared" si="14"/>
        <v>2056</v>
      </c>
      <c r="B94">
        <f t="shared" si="10"/>
        <v>72</v>
      </c>
      <c r="D94" s="25">
        <f t="shared" si="11"/>
        <v>3.6767715646583878E-30</v>
      </c>
      <c r="E94" s="25">
        <f t="shared" si="12"/>
        <v>1.0000000000000018</v>
      </c>
      <c r="F94" s="25">
        <f>IF(B94&gt;=ups+margin,((beta/eta)*(((B94-ups-margin)/eta)^(beta-1))*(EXP(-1*(((B94-ups-margin)/eta)^beta)))),0)</f>
        <v>4.7367246271187276E-7</v>
      </c>
      <c r="G94" s="25">
        <f t="shared" si="15"/>
        <v>0.99999984587831203</v>
      </c>
      <c r="H94" s="26">
        <f t="shared" si="13"/>
        <v>1.539675665251545E-7</v>
      </c>
    </row>
    <row r="95" spans="1:8" x14ac:dyDescent="0.25">
      <c r="A95">
        <f t="shared" si="14"/>
        <v>2057</v>
      </c>
      <c r="B95">
        <f t="shared" si="10"/>
        <v>73</v>
      </c>
      <c r="D95" s="25">
        <f t="shared" si="11"/>
        <v>4.6628733779033779E-32</v>
      </c>
      <c r="E95" s="25">
        <f t="shared" si="12"/>
        <v>1.0000000000000018</v>
      </c>
      <c r="F95" s="25">
        <f>IF(B95&gt;=ups+margin,((beta/eta)*(((B95-ups-margin)/eta)^(beta-1))*(EXP(-1*(((B95-ups-margin)/eta)^beta)))),0)</f>
        <v>1.2028704071407229E-7</v>
      </c>
      <c r="G95" s="25">
        <f t="shared" si="15"/>
        <v>0.99999996616535269</v>
      </c>
      <c r="H95" s="26">
        <f t="shared" si="13"/>
        <v>3.3800812851796296E-8</v>
      </c>
    </row>
    <row r="96" spans="1:8" x14ac:dyDescent="0.25">
      <c r="A96">
        <f t="shared" si="14"/>
        <v>2058</v>
      </c>
      <c r="B96">
        <f t="shared" si="10"/>
        <v>74</v>
      </c>
      <c r="D96" s="25">
        <f t="shared" si="11"/>
        <v>4.8193230471786751E-34</v>
      </c>
      <c r="E96" s="25">
        <f t="shared" si="12"/>
        <v>1.0000000000000018</v>
      </c>
      <c r="F96" s="25">
        <f>IF(B96&gt;=ups+margin,((beta/eta)*(((B96-ups-margin)/eta)^(beta-1))*(EXP(-1*(((B96-ups-margin)/eta)^beta)))),0)</f>
        <v>2.7598255344735324E-8</v>
      </c>
      <c r="G96" s="25">
        <f t="shared" si="15"/>
        <v>0.99999999376360804</v>
      </c>
      <c r="H96" s="26">
        <f t="shared" si="13"/>
        <v>6.2301557624057068E-9</v>
      </c>
    </row>
    <row r="97" spans="1:8" x14ac:dyDescent="0.25">
      <c r="A97">
        <f t="shared" si="14"/>
        <v>2059</v>
      </c>
      <c r="B97">
        <f t="shared" si="10"/>
        <v>75</v>
      </c>
      <c r="D97" s="25">
        <f t="shared" si="11"/>
        <v>4.0354031077283231E-36</v>
      </c>
      <c r="E97" s="25">
        <f t="shared" si="12"/>
        <v>1.0000000000000018</v>
      </c>
      <c r="F97" s="25">
        <f>IF(B97&gt;=ups+margin,((beta/eta)*(((B97-ups-margin)/eta)^(beta-1))*(EXP(-1*(((B97-ups-margin)/eta)^beta)))),0)</f>
        <v>5.6965128227125671E-9</v>
      </c>
      <c r="G97" s="25">
        <f t="shared" si="15"/>
        <v>0.99999999946012086</v>
      </c>
      <c r="H97" s="26">
        <f t="shared" si="13"/>
        <v>5.3933945251585221E-10</v>
      </c>
    </row>
    <row r="98" spans="1:8" x14ac:dyDescent="0.25">
      <c r="A98">
        <f t="shared" si="14"/>
        <v>2060</v>
      </c>
      <c r="B98">
        <f t="shared" si="10"/>
        <v>76</v>
      </c>
      <c r="D98" s="25">
        <f t="shared" si="11"/>
        <v>2.7211080069566353E-38</v>
      </c>
      <c r="E98" s="25">
        <f t="shared" si="12"/>
        <v>1.0000000000000018</v>
      </c>
      <c r="F98" s="25">
        <f>IF(B98&gt;=ups+margin,((beta/eta)*(((B98-ups-margin)/eta)^(beta-1))*(EXP(-1*(((B98-ups-margin)/eta)^beta)))),0)</f>
        <v>1.0531878508182999E-9</v>
      </c>
      <c r="G98" s="25">
        <f t="shared" si="15"/>
        <v>1.0000000005133087</v>
      </c>
      <c r="H98" s="26">
        <f t="shared" si="13"/>
        <v>-5.1279521045162933E-10</v>
      </c>
    </row>
    <row r="99" spans="1:8" x14ac:dyDescent="0.25">
      <c r="A99">
        <f t="shared" si="14"/>
        <v>2061</v>
      </c>
      <c r="B99">
        <f t="shared" si="10"/>
        <v>77</v>
      </c>
      <c r="D99" s="25">
        <f t="shared" si="11"/>
        <v>1.468651378580544E-40</v>
      </c>
      <c r="E99" s="25">
        <f t="shared" si="12"/>
        <v>1.0000000000000018</v>
      </c>
      <c r="F99" s="25">
        <f>IF(B99&gt;=ups+margin,((beta/eta)*(((B99-ups-margin)/eta)^(beta-1))*(EXP(-1*(((B99-ups-margin)/eta)^beta)))),0)</f>
        <v>1.736356867920591E-10</v>
      </c>
      <c r="G99" s="25">
        <f t="shared" si="15"/>
        <v>1.0000000006869445</v>
      </c>
      <c r="H99" s="26">
        <f t="shared" si="13"/>
        <v>-6.8625726155689635E-10</v>
      </c>
    </row>
    <row r="100" spans="1:8" x14ac:dyDescent="0.25">
      <c r="A100">
        <f t="shared" si="14"/>
        <v>2062</v>
      </c>
      <c r="B100">
        <f t="shared" si="10"/>
        <v>78</v>
      </c>
      <c r="D100" s="25">
        <f t="shared" si="11"/>
        <v>6.3056314219047198E-43</v>
      </c>
      <c r="E100" s="25">
        <f t="shared" si="12"/>
        <v>1.0000000000000018</v>
      </c>
      <c r="F100" s="25">
        <f>IF(B100&gt;=ups+margin,((beta/eta)*(((B100-ups-margin)/eta)^(beta-1))*(EXP(-1*(((B100-ups-margin)/eta)^beta)))),0)</f>
        <v>2.5411971807269994E-11</v>
      </c>
      <c r="G100" s="25">
        <f t="shared" si="15"/>
        <v>1.0000000007123564</v>
      </c>
      <c r="H100" s="26">
        <f t="shared" si="13"/>
        <v>-7.116438213923591E-10</v>
      </c>
    </row>
    <row r="101" spans="1:8" x14ac:dyDescent="0.25">
      <c r="A101">
        <f t="shared" si="14"/>
        <v>2063</v>
      </c>
      <c r="B101">
        <f t="shared" si="10"/>
        <v>79</v>
      </c>
      <c r="D101" s="25">
        <f t="shared" si="11"/>
        <v>2.1402528336508936E-45</v>
      </c>
      <c r="E101" s="25">
        <f t="shared" si="12"/>
        <v>1.0000000000000018</v>
      </c>
      <c r="F101" s="25">
        <f>IF(B101&gt;=ups+margin,((beta/eta)*(((B101-ups-margin)/eta)^(beta-1))*(EXP(-1*(((B101-ups-margin)/eta)^beta)))),0)</f>
        <v>3.2862218713926266E-12</v>
      </c>
      <c r="G101" s="25">
        <f t="shared" si="15"/>
        <v>1.0000000007156427</v>
      </c>
      <c r="H101" s="26">
        <f t="shared" si="13"/>
        <v>-7.149267570418803E-10</v>
      </c>
    </row>
    <row r="102" spans="1:8" x14ac:dyDescent="0.25">
      <c r="A102">
        <f t="shared" si="14"/>
        <v>2064</v>
      </c>
      <c r="B102">
        <f t="shared" si="10"/>
        <v>80</v>
      </c>
      <c r="D102" s="25">
        <f t="shared" si="11"/>
        <v>5.7066981724484742E-48</v>
      </c>
      <c r="E102" s="25">
        <f t="shared" si="12"/>
        <v>1.0000000000000018</v>
      </c>
      <c r="F102" s="25">
        <f>IF(B102&gt;=ups+margin,((beta/eta)*(((B102-ups-margin)/eta)^(beta-1))*(EXP(-1*(((B102-ups-margin)/eta)^beta)))),0)</f>
        <v>3.7374106571651366E-13</v>
      </c>
      <c r="G102" s="25">
        <f t="shared" si="15"/>
        <v>1.0000000007160164</v>
      </c>
      <c r="H102" s="26">
        <f t="shared" si="13"/>
        <v>-7.1530012436653107E-10</v>
      </c>
    </row>
    <row r="103" spans="1:8" x14ac:dyDescent="0.25">
      <c r="A103">
        <f t="shared" si="14"/>
        <v>2065</v>
      </c>
      <c r="B103">
        <f t="shared" si="10"/>
        <v>81</v>
      </c>
      <c r="D103" s="25">
        <f t="shared" si="11"/>
        <v>1.1877138953957434E-50</v>
      </c>
      <c r="E103" s="25">
        <f t="shared" si="12"/>
        <v>1.0000000000000018</v>
      </c>
      <c r="F103" s="25">
        <f>IF(B103&gt;=ups+margin,((beta/eta)*(((B103-ups-margin)/eta)^(beta-1))*(EXP(-1*(((B103-ups-margin)/eta)^beta)))),0)</f>
        <v>3.7203182868710854E-14</v>
      </c>
      <c r="G103" s="25">
        <f t="shared" si="15"/>
        <v>1.0000000007160537</v>
      </c>
      <c r="H103" s="26">
        <f t="shared" si="13"/>
        <v>-7.1533729034621692E-10</v>
      </c>
    </row>
    <row r="104" spans="1:8" x14ac:dyDescent="0.25">
      <c r="A104">
        <f t="shared" si="14"/>
        <v>2066</v>
      </c>
      <c r="B104">
        <f t="shared" si="10"/>
        <v>82</v>
      </c>
      <c r="D104" s="25">
        <f t="shared" si="11"/>
        <v>1.9170652041404698E-53</v>
      </c>
      <c r="E104" s="25">
        <f t="shared" si="12"/>
        <v>1.0000000000000018</v>
      </c>
      <c r="F104" s="25">
        <f>IF(B104&gt;=ups+margin,((beta/eta)*(((B104-ups-margin)/eta)^(beta-1))*(EXP(-1*(((B104-ups-margin)/eta)^beta)))),0)</f>
        <v>3.2255852761761601E-15</v>
      </c>
      <c r="G104" s="25">
        <f t="shared" si="15"/>
        <v>1.000000000716057</v>
      </c>
      <c r="H104" s="26">
        <f t="shared" si="13"/>
        <v>-7.1534051270590779E-10</v>
      </c>
    </row>
    <row r="105" spans="1:8" x14ac:dyDescent="0.25">
      <c r="A105">
        <f t="shared" si="14"/>
        <v>2067</v>
      </c>
      <c r="B105">
        <f t="shared" si="10"/>
        <v>83</v>
      </c>
      <c r="D105" s="25">
        <f t="shared" si="11"/>
        <v>2.3840665308932468E-56</v>
      </c>
      <c r="E105" s="25">
        <f t="shared" si="12"/>
        <v>1.0000000000000018</v>
      </c>
      <c r="F105" s="25">
        <f>IF(B105&gt;=ups+margin,((beta/eta)*(((B105-ups-margin)/eta)^(beta-1))*(EXP(-1*(((B105-ups-margin)/eta)^beta)))),0)</f>
        <v>2.4238406546738437E-16</v>
      </c>
      <c r="G105" s="25">
        <f t="shared" si="15"/>
        <v>1.0000000007160572</v>
      </c>
      <c r="H105" s="26">
        <f t="shared" si="13"/>
        <v>-7.1534075484758917E-10</v>
      </c>
    </row>
    <row r="106" spans="1:8" x14ac:dyDescent="0.25">
      <c r="A106">
        <f t="shared" si="14"/>
        <v>2068</v>
      </c>
      <c r="B106">
        <f t="shared" si="10"/>
        <v>84</v>
      </c>
      <c r="D106" s="25">
        <f t="shared" si="11"/>
        <v>2.2692484933131509E-59</v>
      </c>
      <c r="E106" s="25">
        <f t="shared" si="12"/>
        <v>1.0000000000000018</v>
      </c>
      <c r="F106" s="25">
        <f>IF(B106&gt;=ups+margin,((beta/eta)*(((B106-ups-margin)/eta)^(beta-1))*(EXP(-1*(((B106-ups-margin)/eta)^beta)))),0)</f>
        <v>1.5706485953672525E-17</v>
      </c>
      <c r="G106" s="25">
        <f t="shared" si="15"/>
        <v>1.0000000007160572</v>
      </c>
      <c r="H106" s="26">
        <f t="shared" si="13"/>
        <v>-7.1534077053836859E-10</v>
      </c>
    </row>
    <row r="107" spans="1:8" x14ac:dyDescent="0.25">
      <c r="A107">
        <f t="shared" si="14"/>
        <v>2069</v>
      </c>
      <c r="B107">
        <f t="shared" si="10"/>
        <v>85</v>
      </c>
      <c r="D107" s="25">
        <f t="shared" si="11"/>
        <v>1.6421818117495023E-62</v>
      </c>
      <c r="E107" s="25">
        <f t="shared" si="12"/>
        <v>1.0000000000000018</v>
      </c>
      <c r="F107" s="25">
        <f>IF(B107&gt;=ups+margin,((beta/eta)*(((B107-ups-margin)/eta)^(beta-1))*(EXP(-1*(((B107-ups-margin)/eta)^beta)))),0)</f>
        <v>8.7319316675892824E-19</v>
      </c>
      <c r="G107" s="25">
        <f t="shared" si="15"/>
        <v>1.0000000007160572</v>
      </c>
      <c r="H107" s="26">
        <f t="shared" si="13"/>
        <v>-7.1534077141068855E-10</v>
      </c>
    </row>
    <row r="108" spans="1:8" x14ac:dyDescent="0.25">
      <c r="A108">
        <f t="shared" si="14"/>
        <v>2070</v>
      </c>
      <c r="B108">
        <f t="shared" si="10"/>
        <v>86</v>
      </c>
      <c r="D108" s="25">
        <f t="shared" si="11"/>
        <v>8.9742230088494529E-66</v>
      </c>
      <c r="E108" s="25">
        <f t="shared" si="12"/>
        <v>1.0000000000000018</v>
      </c>
      <c r="F108" s="25">
        <f>IF(B108&gt;=ups+margin,((beta/eta)*(((B108-ups-margin)/eta)^(beta-1))*(EXP(-1*(((B108-ups-margin)/eta)^beta)))),0)</f>
        <v>4.1432358798258675E-20</v>
      </c>
      <c r="G108" s="25">
        <f t="shared" si="15"/>
        <v>1.0000000007160572</v>
      </c>
      <c r="H108" s="26">
        <f t="shared" si="13"/>
        <v>-7.1534077145207943E-10</v>
      </c>
    </row>
    <row r="109" spans="1:8" x14ac:dyDescent="0.25">
      <c r="A109">
        <f t="shared" si="14"/>
        <v>2071</v>
      </c>
      <c r="B109">
        <f t="shared" si="10"/>
        <v>87</v>
      </c>
      <c r="D109" s="25">
        <f t="shared" si="11"/>
        <v>3.6782191328912894E-69</v>
      </c>
      <c r="E109" s="25">
        <f t="shared" si="12"/>
        <v>1.0000000000000018</v>
      </c>
      <c r="F109" s="25">
        <f>IF(B109&gt;=ups+margin,((beta/eta)*(((B109-ups-margin)/eta)^(beta-1))*(EXP(-1*(((B109-ups-margin)/eta)^beta)))),0)</f>
        <v>1.6690667683702234E-21</v>
      </c>
      <c r="G109" s="25">
        <f t="shared" si="15"/>
        <v>1.0000000007160572</v>
      </c>
      <c r="H109" s="26">
        <f t="shared" si="13"/>
        <v>-7.1534077145374682E-10</v>
      </c>
    </row>
    <row r="110" spans="1:8" x14ac:dyDescent="0.25">
      <c r="A110">
        <f t="shared" si="14"/>
        <v>2072</v>
      </c>
      <c r="B110">
        <f t="shared" si="10"/>
        <v>88</v>
      </c>
      <c r="D110" s="25">
        <f t="shared" si="11"/>
        <v>1.1228971723814206E-72</v>
      </c>
      <c r="E110" s="25">
        <f t="shared" si="12"/>
        <v>1.0000000000000018</v>
      </c>
      <c r="F110" s="25">
        <f>IF(B110&gt;=ups+margin,((beta/eta)*(((B110-ups-margin)/eta)^(beta-1))*(EXP(-1*(((B110-ups-margin)/eta)^beta)))),0)</f>
        <v>5.677855672079903E-23</v>
      </c>
      <c r="G110" s="25">
        <f t="shared" si="15"/>
        <v>1.0000000007160572</v>
      </c>
      <c r="H110" s="26">
        <f t="shared" si="13"/>
        <v>-7.1534077145380358E-10</v>
      </c>
    </row>
    <row r="111" spans="1:8" x14ac:dyDescent="0.25">
      <c r="A111">
        <f t="shared" si="14"/>
        <v>2073</v>
      </c>
      <c r="B111">
        <f t="shared" si="10"/>
        <v>89</v>
      </c>
      <c r="D111" s="25">
        <f t="shared" si="11"/>
        <v>2.5355284541584483E-76</v>
      </c>
      <c r="E111" s="25">
        <f t="shared" si="12"/>
        <v>1.0000000000000018</v>
      </c>
      <c r="F111" s="25">
        <f>IF(B111&gt;=ups+margin,((beta/eta)*(((B111-ups-margin)/eta)^(beta-1))*(EXP(-1*(((B111-ups-margin)/eta)^beta)))),0)</f>
        <v>1.6222164413463787E-24</v>
      </c>
      <c r="G111" s="25">
        <f t="shared" si="15"/>
        <v>1.0000000007160572</v>
      </c>
      <c r="H111" s="26">
        <f t="shared" si="13"/>
        <v>-7.1534077145380524E-10</v>
      </c>
    </row>
    <row r="112" spans="1:8" x14ac:dyDescent="0.25">
      <c r="A112">
        <f t="shared" si="14"/>
        <v>2074</v>
      </c>
      <c r="B112">
        <f t="shared" si="10"/>
        <v>90</v>
      </c>
      <c r="D112" s="25">
        <f t="shared" si="11"/>
        <v>4.2048992706791962E-80</v>
      </c>
      <c r="E112" s="25">
        <f t="shared" si="12"/>
        <v>1.0000000000000018</v>
      </c>
      <c r="F112" s="25">
        <f>IF(B112&gt;=ups+margin,((beta/eta)*(((B112-ups-margin)/eta)^(beta-1))*(EXP(-1*(((B112-ups-margin)/eta)^beta)))),0)</f>
        <v>3.8712374863883378E-26</v>
      </c>
      <c r="G112" s="25">
        <f t="shared" si="15"/>
        <v>1.0000000007160572</v>
      </c>
      <c r="H112" s="26">
        <f t="shared" si="13"/>
        <v>-7.1534077145380524E-10</v>
      </c>
    </row>
  </sheetData>
  <mergeCells count="4">
    <mergeCell ref="A6:Q6"/>
    <mergeCell ref="A3:S3"/>
    <mergeCell ref="A5:S5"/>
    <mergeCell ref="A4:S4"/>
  </mergeCells>
  <hyperlinks>
    <hyperlink ref="T20" r:id="rId1"/>
  </hyperlinks>
  <pageMargins left="0.7" right="0.7" top="0.75" bottom="0.75" header="0.3" footer="0.3"/>
  <pageSetup scale="41" fitToHeight="0" orientation="landscape"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Failure Mode Effects Model</vt:lpstr>
      <vt:lpstr>alloc</vt:lpstr>
      <vt:lpstr>beta</vt:lpstr>
      <vt:lpstr>chance</vt:lpstr>
      <vt:lpstr>eta</vt:lpstr>
      <vt:lpstr>margin</vt:lpstr>
      <vt:lpstr>mfr_yr</vt:lpstr>
      <vt:lpstr>ups</vt:lpstr>
    </vt:vector>
  </TitlesOfParts>
  <Company>U.S Air Force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LaPach</dc:creator>
  <cp:lastModifiedBy>Bill LaPach</cp:lastModifiedBy>
  <cp:lastPrinted>2015-07-14T16:09:38Z</cp:lastPrinted>
  <dcterms:created xsi:type="dcterms:W3CDTF">2014-06-19T14:29:34Z</dcterms:created>
  <dcterms:modified xsi:type="dcterms:W3CDTF">2016-07-03T00:12:08Z</dcterms:modified>
</cp:coreProperties>
</file>