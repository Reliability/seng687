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tinker-2k.area52.afnoapps.usaf.mil\dfs1\AFNWC-MSD\Common\NWBA\NWBAN (Engineering)\Analysis Team\Surveillance Plan and SLE Modeling\SLE_Fuel_Boost_Pump_Electronic_Unit\"/>
    </mc:Choice>
  </mc:AlternateContent>
  <bookViews>
    <workbookView xWindow="0" yWindow="4275" windowWidth="22035" windowHeight="8505" tabRatio="878" activeTab="1"/>
  </bookViews>
  <sheets>
    <sheet name="Failure Mode Effects Model- WTC" sheetId="3" r:id="rId1"/>
    <sheet name="FMEM-Metal Film Resistor" sheetId="5" r:id="rId2"/>
    <sheet name="Sheet2" sheetId="8" r:id="rId3"/>
    <sheet name="Sheet1" sheetId="7" r:id="rId4"/>
    <sheet name="FMEM- metal Film Resistor" sheetId="6" r:id="rId5"/>
  </sheets>
  <definedNames>
    <definedName name="alloc">'Failure Mode Effects Model- WTC'!$H$15</definedName>
    <definedName name="beta">'Failure Mode Effects Model- WTC'!$B$10</definedName>
    <definedName name="chance">'Failure Mode Effects Model- WTC'!$J$17</definedName>
    <definedName name="eta">'Failure Mode Effects Model- WTC'!$B$8</definedName>
    <definedName name="margin">'Failure Mode Effects Model- WTC'!$G$20</definedName>
    <definedName name="mfr_yr">'Failure Mode Effects Model- WTC'!$A$22</definedName>
    <definedName name="RdegradeRate">'FMEM- metal Film Resistor'!$C$11</definedName>
    <definedName name="resistor_alloc_rel">'FMEM- metal Film Resistor'!$C$15</definedName>
    <definedName name="SpecifiedR">#REF!</definedName>
    <definedName name="ups">'Failure Mode Effects Model- WTC'!$B$12</definedName>
  </definedNames>
  <calcPr calcId="152511"/>
</workbook>
</file>

<file path=xl/calcChain.xml><?xml version="1.0" encoding="utf-8"?>
<calcChain xmlns="http://schemas.openxmlformats.org/spreadsheetml/2006/main">
  <c r="C11" i="6" l="1"/>
  <c r="G123" i="6" s="1"/>
  <c r="G126" i="6"/>
  <c r="G130" i="6"/>
  <c r="G106" i="6"/>
  <c r="G110" i="6"/>
  <c r="G114" i="6"/>
  <c r="G118" i="6"/>
  <c r="G122" i="6"/>
  <c r="G99" i="6"/>
  <c r="G103" i="6"/>
  <c r="G87" i="6"/>
  <c r="G91" i="6"/>
  <c r="G95" i="6"/>
  <c r="G80" i="6"/>
  <c r="G84" i="6"/>
  <c r="G83" i="6" l="1"/>
  <c r="G79" i="6"/>
  <c r="G94" i="6"/>
  <c r="G90" i="6"/>
  <c r="G86" i="6"/>
  <c r="G102" i="6"/>
  <c r="G98" i="6"/>
  <c r="G121" i="6"/>
  <c r="G117" i="6"/>
  <c r="G113" i="6"/>
  <c r="G109" i="6"/>
  <c r="G133" i="6"/>
  <c r="G129" i="6"/>
  <c r="G125" i="6"/>
  <c r="G82" i="6"/>
  <c r="G78" i="6"/>
  <c r="G93" i="6"/>
  <c r="G89" i="6"/>
  <c r="G105" i="6"/>
  <c r="G101" i="6"/>
  <c r="G97" i="6"/>
  <c r="G120" i="6"/>
  <c r="G116" i="6"/>
  <c r="G112" i="6"/>
  <c r="G108" i="6"/>
  <c r="G132" i="6"/>
  <c r="G128" i="6"/>
  <c r="G124" i="6"/>
  <c r="G85" i="6"/>
  <c r="G81" i="6"/>
  <c r="G77" i="6"/>
  <c r="G92" i="6"/>
  <c r="G88" i="6"/>
  <c r="G104" i="6"/>
  <c r="G100" i="6"/>
  <c r="G96" i="6"/>
  <c r="G119" i="6"/>
  <c r="G115" i="6"/>
  <c r="G111" i="6"/>
  <c r="G107" i="6"/>
  <c r="G131" i="6"/>
  <c r="G127" i="6"/>
  <c r="G76" i="6" l="1"/>
  <c r="G74" i="6"/>
  <c r="G72" i="6"/>
  <c r="G70" i="6"/>
  <c r="G68" i="6"/>
  <c r="G66" i="6"/>
  <c r="G64" i="6"/>
  <c r="G62" i="6"/>
  <c r="G60" i="6"/>
  <c r="G58" i="6"/>
  <c r="G56" i="6"/>
  <c r="G54" i="6"/>
  <c r="G52" i="6"/>
  <c r="G50" i="6"/>
  <c r="G48" i="6"/>
  <c r="G46" i="6"/>
  <c r="G44" i="6"/>
  <c r="G42" i="6"/>
  <c r="G40" i="6"/>
  <c r="G38" i="6"/>
  <c r="G36" i="6"/>
  <c r="G34" i="6"/>
  <c r="G32" i="6"/>
  <c r="J32" i="6" s="1"/>
  <c r="G30" i="6"/>
  <c r="G28" i="6"/>
  <c r="G26" i="6"/>
  <c r="G24" i="6"/>
  <c r="J24" i="6" s="1"/>
  <c r="G22" i="6"/>
  <c r="G20" i="6"/>
  <c r="G18" i="6"/>
  <c r="G16" i="6"/>
  <c r="J16" i="6" s="1"/>
  <c r="G14" i="6"/>
  <c r="G12" i="6"/>
  <c r="G11" i="6"/>
  <c r="J12" i="6" l="1"/>
  <c r="J20" i="6"/>
  <c r="J28" i="6"/>
  <c r="J36" i="6"/>
  <c r="J65" i="6"/>
  <c r="J49" i="6"/>
  <c r="J33" i="6"/>
  <c r="J17" i="6"/>
  <c r="J76" i="6"/>
  <c r="J74" i="6"/>
  <c r="J72" i="6"/>
  <c r="J70" i="6"/>
  <c r="J68" i="6"/>
  <c r="J66" i="6"/>
  <c r="J64" i="6"/>
  <c r="J62" i="6"/>
  <c r="J60" i="6"/>
  <c r="J58" i="6"/>
  <c r="J56" i="6"/>
  <c r="J54" i="6"/>
  <c r="J52" i="6"/>
  <c r="J50" i="6"/>
  <c r="J48" i="6"/>
  <c r="J46" i="6"/>
  <c r="J44" i="6"/>
  <c r="J42" i="6"/>
  <c r="J40" i="6"/>
  <c r="J38" i="6"/>
  <c r="J14" i="6"/>
  <c r="J18" i="6"/>
  <c r="J22" i="6"/>
  <c r="J26" i="6"/>
  <c r="J30" i="6"/>
  <c r="J34" i="6"/>
  <c r="G13" i="6"/>
  <c r="J13" i="6" s="1"/>
  <c r="G15" i="6"/>
  <c r="J15" i="6" s="1"/>
  <c r="G17" i="6"/>
  <c r="G19" i="6"/>
  <c r="J19" i="6" s="1"/>
  <c r="G21" i="6"/>
  <c r="J21" i="6" s="1"/>
  <c r="G23" i="6"/>
  <c r="J23" i="6" s="1"/>
  <c r="G25" i="6"/>
  <c r="J25" i="6" s="1"/>
  <c r="G27" i="6"/>
  <c r="J27" i="6" s="1"/>
  <c r="G29" i="6"/>
  <c r="J29" i="6" s="1"/>
  <c r="G31" i="6"/>
  <c r="J31" i="6" s="1"/>
  <c r="G33" i="6"/>
  <c r="G35" i="6"/>
  <c r="J35" i="6" s="1"/>
  <c r="G37" i="6"/>
  <c r="J37" i="6" s="1"/>
  <c r="G39" i="6"/>
  <c r="J39" i="6" s="1"/>
  <c r="G41" i="6"/>
  <c r="J41" i="6" s="1"/>
  <c r="G43" i="6"/>
  <c r="J43" i="6" s="1"/>
  <c r="G45" i="6"/>
  <c r="J45" i="6" s="1"/>
  <c r="G47" i="6"/>
  <c r="J47" i="6" s="1"/>
  <c r="G49" i="6"/>
  <c r="G51" i="6"/>
  <c r="J51" i="6" s="1"/>
  <c r="G53" i="6"/>
  <c r="J53" i="6" s="1"/>
  <c r="G55" i="6"/>
  <c r="J55" i="6" s="1"/>
  <c r="G57" i="6"/>
  <c r="J57" i="6" s="1"/>
  <c r="G59" i="6"/>
  <c r="J59" i="6" s="1"/>
  <c r="G61" i="6"/>
  <c r="J61" i="6" s="1"/>
  <c r="G63" i="6"/>
  <c r="J63" i="6" s="1"/>
  <c r="G65" i="6"/>
  <c r="G67" i="6"/>
  <c r="J67" i="6" s="1"/>
  <c r="G69" i="6"/>
  <c r="J69" i="6" s="1"/>
  <c r="G71" i="6"/>
  <c r="J71" i="6" s="1"/>
  <c r="G73" i="6"/>
  <c r="J73" i="6" s="1"/>
  <c r="G75" i="6"/>
  <c r="J75" i="6" s="1"/>
  <c r="A24" i="5"/>
  <c r="A25" i="5" s="1"/>
  <c r="B23" i="5"/>
  <c r="H23" i="5" s="1"/>
  <c r="A23" i="5"/>
  <c r="A26" i="5" l="1"/>
  <c r="B25" i="5"/>
  <c r="B24" i="5"/>
  <c r="D23" i="5"/>
  <c r="F23" i="5" s="1"/>
  <c r="G23" i="5" s="1"/>
  <c r="E23" i="5" l="1"/>
  <c r="F25" i="5"/>
  <c r="D25" i="5"/>
  <c r="D24" i="5"/>
  <c r="E24" i="5" s="1"/>
  <c r="F24" i="5"/>
  <c r="H24" i="5" s="1"/>
  <c r="B26" i="5"/>
  <c r="A27" i="5"/>
  <c r="A23" i="3"/>
  <c r="A24" i="3" s="1"/>
  <c r="A25" i="3" s="1"/>
  <c r="A26" i="3" s="1"/>
  <c r="A27" i="3" s="1"/>
  <c r="A28" i="3" s="1"/>
  <c r="A29" i="3" s="1"/>
  <c r="A30" i="3" s="1"/>
  <c r="A31" i="3" s="1"/>
  <c r="A32" i="3" s="1"/>
  <c r="A33" i="3" s="1"/>
  <c r="A34" i="3" s="1"/>
  <c r="G24" i="5" l="1"/>
  <c r="G25" i="5" s="1"/>
  <c r="H25" i="5"/>
  <c r="E25" i="5"/>
  <c r="F26" i="5"/>
  <c r="D26" i="5"/>
  <c r="B27" i="5"/>
  <c r="A28" i="5"/>
  <c r="A35" i="3"/>
  <c r="B35" i="3" s="1"/>
  <c r="D35" i="3" s="1"/>
  <c r="B30" i="3"/>
  <c r="D30" i="3" s="1"/>
  <c r="B34" i="3"/>
  <c r="D34" i="3" s="1"/>
  <c r="B26" i="3"/>
  <c r="D26" i="3" s="1"/>
  <c r="B33" i="3"/>
  <c r="D33" i="3" s="1"/>
  <c r="B29" i="3"/>
  <c r="D29" i="3" s="1"/>
  <c r="B25" i="3"/>
  <c r="D25" i="3" s="1"/>
  <c r="B32" i="3"/>
  <c r="D32" i="3" s="1"/>
  <c r="B28" i="3"/>
  <c r="D28" i="3" s="1"/>
  <c r="B24" i="3"/>
  <c r="B31" i="3"/>
  <c r="D31" i="3" s="1"/>
  <c r="B27" i="3"/>
  <c r="D27" i="3" s="1"/>
  <c r="E26" i="5" l="1"/>
  <c r="G26" i="5"/>
  <c r="H26" i="5"/>
  <c r="A29" i="5"/>
  <c r="B28" i="5"/>
  <c r="D27" i="5"/>
  <c r="F27" i="5"/>
  <c r="D24" i="3"/>
  <c r="F35" i="3"/>
  <c r="F25" i="3"/>
  <c r="F34" i="3"/>
  <c r="F24" i="3"/>
  <c r="F29" i="3"/>
  <c r="F30" i="3"/>
  <c r="F27" i="3"/>
  <c r="F28" i="3"/>
  <c r="F33" i="3"/>
  <c r="F31" i="3"/>
  <c r="F32" i="3"/>
  <c r="F26" i="3"/>
  <c r="A36" i="3"/>
  <c r="E27" i="5" l="1"/>
  <c r="G27" i="5"/>
  <c r="H27" i="5"/>
  <c r="D28" i="5"/>
  <c r="E28" i="5" s="1"/>
  <c r="F28" i="5"/>
  <c r="G28" i="5" s="1"/>
  <c r="A30" i="5"/>
  <c r="B29" i="5"/>
  <c r="A37" i="3"/>
  <c r="B36" i="3"/>
  <c r="D36" i="3" s="1"/>
  <c r="H28" i="5" l="1"/>
  <c r="D29" i="5"/>
  <c r="E29" i="5" s="1"/>
  <c r="F29" i="5"/>
  <c r="A31" i="5"/>
  <c r="B30" i="5"/>
  <c r="F36" i="3"/>
  <c r="A38" i="3"/>
  <c r="B37" i="3"/>
  <c r="D37" i="3" s="1"/>
  <c r="B23" i="3"/>
  <c r="H29" i="5" l="1"/>
  <c r="G29" i="5"/>
  <c r="F30" i="5"/>
  <c r="D30" i="5"/>
  <c r="E30" i="5" s="1"/>
  <c r="A32" i="5"/>
  <c r="B31" i="5"/>
  <c r="H23" i="3"/>
  <c r="H24" i="3" s="1"/>
  <c r="H25" i="3" s="1"/>
  <c r="H26" i="3" s="1"/>
  <c r="H27" i="3" s="1"/>
  <c r="H28" i="3" s="1"/>
  <c r="H29" i="3" s="1"/>
  <c r="H30" i="3" s="1"/>
  <c r="H31" i="3" s="1"/>
  <c r="H32" i="3" s="1"/>
  <c r="H33" i="3" s="1"/>
  <c r="H34" i="3" s="1"/>
  <c r="H35" i="3" s="1"/>
  <c r="H36" i="3" s="1"/>
  <c r="D23" i="3"/>
  <c r="E23" i="3" s="1"/>
  <c r="E24" i="3" s="1"/>
  <c r="E25" i="3" s="1"/>
  <c r="E26" i="3" s="1"/>
  <c r="E27" i="3" s="1"/>
  <c r="E28" i="3" s="1"/>
  <c r="E29" i="3" s="1"/>
  <c r="E30" i="3" s="1"/>
  <c r="E31" i="3" s="1"/>
  <c r="E32" i="3" s="1"/>
  <c r="E33" i="3" s="1"/>
  <c r="E34" i="3" s="1"/>
  <c r="E35" i="3" s="1"/>
  <c r="E36" i="3" s="1"/>
  <c r="E37" i="3" s="1"/>
  <c r="F37" i="3"/>
  <c r="A39" i="3"/>
  <c r="B38" i="3"/>
  <c r="D38" i="3" s="1"/>
  <c r="E38" i="3" l="1"/>
  <c r="H30" i="5"/>
  <c r="G30" i="5"/>
  <c r="F23" i="3"/>
  <c r="G23" i="3" s="1"/>
  <c r="G24" i="3" s="1"/>
  <c r="G25" i="3" s="1"/>
  <c r="G26" i="3" s="1"/>
  <c r="G27" i="3" s="1"/>
  <c r="G28" i="3" s="1"/>
  <c r="G29" i="3" s="1"/>
  <c r="G30" i="3" s="1"/>
  <c r="G31" i="3" s="1"/>
  <c r="G32" i="3" s="1"/>
  <c r="G33" i="3" s="1"/>
  <c r="G34" i="3" s="1"/>
  <c r="G35" i="3" s="1"/>
  <c r="G36" i="3" s="1"/>
  <c r="G37" i="3" s="1"/>
  <c r="F31" i="5"/>
  <c r="H31" i="5" s="1"/>
  <c r="D31" i="5"/>
  <c r="E31" i="5" s="1"/>
  <c r="A33" i="5"/>
  <c r="B32" i="5"/>
  <c r="H37" i="3"/>
  <c r="F38" i="3"/>
  <c r="A40" i="3"/>
  <c r="B39" i="3"/>
  <c r="D39" i="3" s="1"/>
  <c r="E39" i="3" l="1"/>
  <c r="G31" i="5"/>
  <c r="G38" i="3"/>
  <c r="D32" i="5"/>
  <c r="E32" i="5" s="1"/>
  <c r="F32" i="5"/>
  <c r="H32" i="5" s="1"/>
  <c r="B33" i="5"/>
  <c r="A34" i="5"/>
  <c r="H38" i="3"/>
  <c r="F39" i="3"/>
  <c r="A41" i="3"/>
  <c r="B40" i="3"/>
  <c r="D40" i="3" s="1"/>
  <c r="E40" i="3" l="1"/>
  <c r="G39" i="3"/>
  <c r="G32" i="5"/>
  <c r="B34" i="5"/>
  <c r="A35" i="5"/>
  <c r="F33" i="5"/>
  <c r="H33" i="5" s="1"/>
  <c r="D33" i="5"/>
  <c r="E33" i="5" s="1"/>
  <c r="H39" i="3"/>
  <c r="F40" i="3"/>
  <c r="G40" i="3" s="1"/>
  <c r="A42" i="3"/>
  <c r="B41" i="3"/>
  <c r="D41" i="3" s="1"/>
  <c r="E41" i="3" l="1"/>
  <c r="G33" i="5"/>
  <c r="B35" i="5"/>
  <c r="A36" i="5"/>
  <c r="F34" i="5"/>
  <c r="G34" i="5" s="1"/>
  <c r="D34" i="5"/>
  <c r="E34" i="5" s="1"/>
  <c r="H40" i="3"/>
  <c r="F41" i="3"/>
  <c r="G41" i="3" s="1"/>
  <c r="A43" i="3"/>
  <c r="B42" i="3"/>
  <c r="D42" i="3" s="1"/>
  <c r="E42" i="3" l="1"/>
  <c r="A37" i="5"/>
  <c r="B36" i="5"/>
  <c r="H34" i="5"/>
  <c r="D35" i="5"/>
  <c r="E35" i="5" s="1"/>
  <c r="F35" i="5"/>
  <c r="G35" i="5" s="1"/>
  <c r="H41" i="3"/>
  <c r="F42" i="3"/>
  <c r="G42" i="3" s="1"/>
  <c r="A44" i="3"/>
  <c r="B43" i="3"/>
  <c r="D43" i="3" s="1"/>
  <c r="E43" i="3" l="1"/>
  <c r="H35" i="5"/>
  <c r="F36" i="5"/>
  <c r="G36" i="5" s="1"/>
  <c r="D36" i="5"/>
  <c r="E36" i="5" s="1"/>
  <c r="A38" i="5"/>
  <c r="B37" i="5"/>
  <c r="H42" i="3"/>
  <c r="F43" i="3"/>
  <c r="A45" i="3"/>
  <c r="B44" i="3"/>
  <c r="D44" i="3" s="1"/>
  <c r="E44" i="3" l="1"/>
  <c r="F37" i="5"/>
  <c r="G37" i="5" s="1"/>
  <c r="D37" i="5"/>
  <c r="E37" i="5" s="1"/>
  <c r="H36" i="5"/>
  <c r="B38" i="5"/>
  <c r="A39" i="5"/>
  <c r="H43" i="3"/>
  <c r="G43" i="3"/>
  <c r="F44" i="3"/>
  <c r="A46" i="3"/>
  <c r="B45" i="3"/>
  <c r="D45" i="3" s="1"/>
  <c r="E45" i="3" l="1"/>
  <c r="H37" i="5"/>
  <c r="B39" i="5"/>
  <c r="A40" i="5"/>
  <c r="F38" i="5"/>
  <c r="H38" i="5" s="1"/>
  <c r="D38" i="5"/>
  <c r="E38" i="5" s="1"/>
  <c r="H44" i="3"/>
  <c r="G44" i="3"/>
  <c r="F45" i="3"/>
  <c r="A47" i="3"/>
  <c r="B46" i="3"/>
  <c r="D46" i="3" s="1"/>
  <c r="E46" i="3" l="1"/>
  <c r="G38" i="5"/>
  <c r="A41" i="5"/>
  <c r="B40" i="5"/>
  <c r="D39" i="5"/>
  <c r="E39" i="5" s="1"/>
  <c r="F39" i="5"/>
  <c r="G39" i="5" s="1"/>
  <c r="H45" i="3"/>
  <c r="G45" i="3"/>
  <c r="F46" i="3"/>
  <c r="A48" i="3"/>
  <c r="B47" i="3"/>
  <c r="D47" i="3" s="1"/>
  <c r="E47" i="3" l="1"/>
  <c r="H39" i="5"/>
  <c r="D40" i="5"/>
  <c r="E40" i="5" s="1"/>
  <c r="F40" i="5"/>
  <c r="B41" i="5"/>
  <c r="A42" i="5"/>
  <c r="H46" i="3"/>
  <c r="G46" i="3"/>
  <c r="F47" i="3"/>
  <c r="A49" i="3"/>
  <c r="B48" i="3"/>
  <c r="D48" i="3" s="1"/>
  <c r="E48" i="3" l="1"/>
  <c r="H40" i="5"/>
  <c r="B42" i="5"/>
  <c r="A43" i="5"/>
  <c r="F41" i="5"/>
  <c r="H41" i="5" s="1"/>
  <c r="D41" i="5"/>
  <c r="E41" i="5" s="1"/>
  <c r="G40" i="5"/>
  <c r="H47" i="3"/>
  <c r="G47" i="3"/>
  <c r="F48" i="3"/>
  <c r="A50" i="3"/>
  <c r="B49" i="3"/>
  <c r="D49" i="3" s="1"/>
  <c r="E49" i="3" l="1"/>
  <c r="G41" i="5"/>
  <c r="B43" i="5"/>
  <c r="A44" i="5"/>
  <c r="F42" i="5"/>
  <c r="G42" i="5" s="1"/>
  <c r="D42" i="5"/>
  <c r="E42" i="5" s="1"/>
  <c r="G48" i="3"/>
  <c r="H48" i="3"/>
  <c r="F49" i="3"/>
  <c r="A51" i="3"/>
  <c r="B50" i="3"/>
  <c r="D50" i="3" s="1"/>
  <c r="E50" i="3" l="1"/>
  <c r="B44" i="5"/>
  <c r="A45" i="5"/>
  <c r="H42" i="5"/>
  <c r="D43" i="5"/>
  <c r="E43" i="5" s="1"/>
  <c r="F43" i="5"/>
  <c r="G43" i="5" s="1"/>
  <c r="G49" i="3"/>
  <c r="H49" i="3"/>
  <c r="F50" i="3"/>
  <c r="A52" i="3"/>
  <c r="B51" i="3"/>
  <c r="D51" i="3" s="1"/>
  <c r="E51" i="3" l="1"/>
  <c r="H43" i="5"/>
  <c r="A46" i="5"/>
  <c r="B45" i="5"/>
  <c r="F44" i="5"/>
  <c r="D44" i="5"/>
  <c r="E44" i="5" s="1"/>
  <c r="G50" i="3"/>
  <c r="H50" i="3"/>
  <c r="F51" i="3"/>
  <c r="B52" i="3"/>
  <c r="D52" i="3" s="1"/>
  <c r="A53" i="3"/>
  <c r="E52" i="3" l="1"/>
  <c r="H44" i="5"/>
  <c r="D45" i="5"/>
  <c r="E45" i="5" s="1"/>
  <c r="F45" i="5"/>
  <c r="G44" i="5"/>
  <c r="A47" i="5"/>
  <c r="B46" i="5"/>
  <c r="G51" i="3"/>
  <c r="H51" i="3"/>
  <c r="F52" i="3"/>
  <c r="A54" i="3"/>
  <c r="B53" i="3"/>
  <c r="D53" i="3" s="1"/>
  <c r="E53" i="3" l="1"/>
  <c r="H45" i="5"/>
  <c r="B47" i="5"/>
  <c r="A48" i="5"/>
  <c r="D46" i="5"/>
  <c r="E46" i="5" s="1"/>
  <c r="F46" i="5"/>
  <c r="G45" i="5"/>
  <c r="G52" i="3"/>
  <c r="H52" i="3"/>
  <c r="F53" i="3"/>
  <c r="A55" i="3"/>
  <c r="B54" i="3"/>
  <c r="D54" i="3" s="1"/>
  <c r="E54" i="3" l="1"/>
  <c r="H46" i="5"/>
  <c r="G46" i="5"/>
  <c r="B48" i="5"/>
  <c r="A49" i="5"/>
  <c r="F47" i="5"/>
  <c r="D47" i="5"/>
  <c r="E47" i="5" s="1"/>
  <c r="G53" i="3"/>
  <c r="H53" i="3"/>
  <c r="F54" i="3"/>
  <c r="A56" i="3"/>
  <c r="B55" i="3"/>
  <c r="D55" i="3" s="1"/>
  <c r="H47" i="5" l="1"/>
  <c r="E55" i="3"/>
  <c r="G47" i="5"/>
  <c r="B49" i="5"/>
  <c r="A50" i="5"/>
  <c r="D48" i="5"/>
  <c r="E48" i="5" s="1"/>
  <c r="F48" i="5"/>
  <c r="G54" i="3"/>
  <c r="H54" i="3"/>
  <c r="F55" i="3"/>
  <c r="A57" i="3"/>
  <c r="B56" i="3"/>
  <c r="D56" i="3" s="1"/>
  <c r="H48" i="5" l="1"/>
  <c r="E56" i="3"/>
  <c r="G48" i="5"/>
  <c r="A51" i="5"/>
  <c r="B50" i="5"/>
  <c r="D49" i="5"/>
  <c r="E49" i="5" s="1"/>
  <c r="F49" i="5"/>
  <c r="G49" i="5" s="1"/>
  <c r="G55" i="3"/>
  <c r="H55" i="3"/>
  <c r="F56" i="3"/>
  <c r="A58" i="3"/>
  <c r="B57" i="3"/>
  <c r="D57" i="3" s="1"/>
  <c r="E57" i="3" l="1"/>
  <c r="H49" i="5"/>
  <c r="F50" i="5"/>
  <c r="G50" i="5" s="1"/>
  <c r="D50" i="5"/>
  <c r="E50" i="5" s="1"/>
  <c r="A52" i="5"/>
  <c r="B51" i="5"/>
  <c r="G56" i="3"/>
  <c r="H56" i="3"/>
  <c r="F57" i="3"/>
  <c r="B58" i="3"/>
  <c r="D58" i="3" s="1"/>
  <c r="A59" i="3"/>
  <c r="E58" i="3" l="1"/>
  <c r="H50" i="5"/>
  <c r="F51" i="5"/>
  <c r="G51" i="5" s="1"/>
  <c r="D51" i="5"/>
  <c r="E51" i="5" s="1"/>
  <c r="B52" i="5"/>
  <c r="A53" i="5"/>
  <c r="G57" i="3"/>
  <c r="H57" i="3"/>
  <c r="F58" i="3"/>
  <c r="B59" i="3"/>
  <c r="D59" i="3" s="1"/>
  <c r="A60" i="3"/>
  <c r="E59" i="3" l="1"/>
  <c r="H51" i="5"/>
  <c r="A54" i="5"/>
  <c r="B53" i="5"/>
  <c r="F52" i="5"/>
  <c r="D52" i="5"/>
  <c r="E52" i="5" s="1"/>
  <c r="G58" i="3"/>
  <c r="H58" i="3"/>
  <c r="F59" i="3"/>
  <c r="B60" i="3"/>
  <c r="D60" i="3" s="1"/>
  <c r="A61" i="3"/>
  <c r="E60" i="3" l="1"/>
  <c r="H52" i="5"/>
  <c r="G52" i="5"/>
  <c r="D53" i="5"/>
  <c r="E53" i="5" s="1"/>
  <c r="F53" i="5"/>
  <c r="A55" i="5"/>
  <c r="B54" i="5"/>
  <c r="G59" i="3"/>
  <c r="H59" i="3"/>
  <c r="F60" i="3"/>
  <c r="A62" i="3"/>
  <c r="B61" i="3"/>
  <c r="D61" i="3" s="1"/>
  <c r="G53" i="5" l="1"/>
  <c r="E61" i="3"/>
  <c r="D54" i="5"/>
  <c r="E54" i="5" s="1"/>
  <c r="F54" i="5"/>
  <c r="A56" i="5"/>
  <c r="B55" i="5"/>
  <c r="H53" i="5"/>
  <c r="G60" i="3"/>
  <c r="H60" i="3"/>
  <c r="F61" i="3"/>
  <c r="A63" i="3"/>
  <c r="B62" i="3"/>
  <c r="D62" i="3" s="1"/>
  <c r="G54" i="5" l="1"/>
  <c r="E62" i="3"/>
  <c r="H54" i="5"/>
  <c r="F55" i="5"/>
  <c r="D55" i="5"/>
  <c r="E55" i="5" s="1"/>
  <c r="B56" i="5"/>
  <c r="A57" i="5"/>
  <c r="G61" i="3"/>
  <c r="H61" i="3"/>
  <c r="F62" i="3"/>
  <c r="A64" i="3"/>
  <c r="B63" i="3"/>
  <c r="D63" i="3" s="1"/>
  <c r="E63" i="3" l="1"/>
  <c r="H55" i="5"/>
  <c r="A58" i="5"/>
  <c r="B57" i="5"/>
  <c r="D56" i="5"/>
  <c r="E56" i="5" s="1"/>
  <c r="F56" i="5"/>
  <c r="G55" i="5"/>
  <c r="G62" i="3"/>
  <c r="H62" i="3"/>
  <c r="F63" i="3"/>
  <c r="A65" i="3"/>
  <c r="B64" i="3"/>
  <c r="D64" i="3" s="1"/>
  <c r="E64" i="3" l="1"/>
  <c r="G56" i="5"/>
  <c r="H56" i="5"/>
  <c r="D57" i="5"/>
  <c r="E57" i="5" s="1"/>
  <c r="F57" i="5"/>
  <c r="A59" i="5"/>
  <c r="B58" i="5"/>
  <c r="G63" i="3"/>
  <c r="H63" i="3"/>
  <c r="F64" i="3"/>
  <c r="A66" i="3"/>
  <c r="B65" i="3"/>
  <c r="D65" i="3" s="1"/>
  <c r="E65" i="3" l="1"/>
  <c r="G57" i="5"/>
  <c r="B59" i="5"/>
  <c r="A60" i="5"/>
  <c r="F58" i="5"/>
  <c r="D58" i="5"/>
  <c r="E58" i="5" s="1"/>
  <c r="H57" i="5"/>
  <c r="G64" i="3"/>
  <c r="H64" i="3"/>
  <c r="F65" i="3"/>
  <c r="A67" i="3"/>
  <c r="B66" i="3"/>
  <c r="D66" i="3" s="1"/>
  <c r="E66" i="3" l="1"/>
  <c r="H58" i="5"/>
  <c r="G58" i="5"/>
  <c r="B60" i="5"/>
  <c r="A61" i="5"/>
  <c r="F59" i="5"/>
  <c r="D59" i="5"/>
  <c r="E59" i="5" s="1"/>
  <c r="G65" i="3"/>
  <c r="H65" i="3"/>
  <c r="F66" i="3"/>
  <c r="A68" i="3"/>
  <c r="B67" i="3"/>
  <c r="D67" i="3" s="1"/>
  <c r="E67" i="3" l="1"/>
  <c r="G59" i="5"/>
  <c r="H59" i="5"/>
  <c r="A62" i="5"/>
  <c r="B61" i="5"/>
  <c r="D60" i="5"/>
  <c r="E60" i="5" s="1"/>
  <c r="F60" i="5"/>
  <c r="H60" i="5" s="1"/>
  <c r="G66" i="3"/>
  <c r="H66" i="3"/>
  <c r="F67" i="3"/>
  <c r="B68" i="3"/>
  <c r="D68" i="3" s="1"/>
  <c r="A69" i="3"/>
  <c r="E68" i="3" l="1"/>
  <c r="G60" i="5"/>
  <c r="D61" i="5"/>
  <c r="E61" i="5" s="1"/>
  <c r="F61" i="5"/>
  <c r="A63" i="5"/>
  <c r="B62" i="5"/>
  <c r="H67" i="3"/>
  <c r="G67" i="3"/>
  <c r="F68" i="3"/>
  <c r="A70" i="3"/>
  <c r="B69" i="3"/>
  <c r="D69" i="3" s="1"/>
  <c r="E69" i="3" l="1"/>
  <c r="G61" i="5"/>
  <c r="B63" i="5"/>
  <c r="A64" i="5"/>
  <c r="F62" i="5"/>
  <c r="D62" i="5"/>
  <c r="E62" i="5" s="1"/>
  <c r="H61" i="5"/>
  <c r="G68" i="3"/>
  <c r="H68" i="3"/>
  <c r="F69" i="3"/>
  <c r="A71" i="3"/>
  <c r="B70" i="3"/>
  <c r="D70" i="3" s="1"/>
  <c r="E70" i="3" l="1"/>
  <c r="H62" i="5"/>
  <c r="G62" i="5"/>
  <c r="B64" i="5"/>
  <c r="A65" i="5"/>
  <c r="F63" i="5"/>
  <c r="D63" i="5"/>
  <c r="E63" i="5" s="1"/>
  <c r="G69" i="3"/>
  <c r="H69" i="3"/>
  <c r="F70" i="3"/>
  <c r="A72" i="3"/>
  <c r="B71" i="3"/>
  <c r="D71" i="3" s="1"/>
  <c r="E71" i="3" l="1"/>
  <c r="G63" i="5"/>
  <c r="H63" i="5"/>
  <c r="A66" i="5"/>
  <c r="B65" i="5"/>
  <c r="D64" i="5"/>
  <c r="E64" i="5" s="1"/>
  <c r="F64" i="5"/>
  <c r="H64" i="5" s="1"/>
  <c r="G70" i="3"/>
  <c r="H70" i="3"/>
  <c r="F71" i="3"/>
  <c r="A73" i="3"/>
  <c r="B72" i="3"/>
  <c r="D72" i="3" s="1"/>
  <c r="E72" i="3" l="1"/>
  <c r="G64" i="5"/>
  <c r="D65" i="5"/>
  <c r="E65" i="5" s="1"/>
  <c r="F65" i="5"/>
  <c r="A67" i="5"/>
  <c r="B66" i="5"/>
  <c r="G71" i="3"/>
  <c r="H71" i="3"/>
  <c r="F72" i="3"/>
  <c r="A74" i="3"/>
  <c r="B73" i="3"/>
  <c r="D73" i="3" s="1"/>
  <c r="E73" i="3" l="1"/>
  <c r="G65" i="5"/>
  <c r="F66" i="5"/>
  <c r="D66" i="5"/>
  <c r="E66" i="5" s="1"/>
  <c r="B67" i="5"/>
  <c r="A68" i="5"/>
  <c r="H65" i="5"/>
  <c r="G72" i="3"/>
  <c r="H72" i="3"/>
  <c r="F73" i="3"/>
  <c r="A75" i="3"/>
  <c r="B74" i="3"/>
  <c r="D74" i="3" s="1"/>
  <c r="E74" i="3" l="1"/>
  <c r="G66" i="5"/>
  <c r="F67" i="5"/>
  <c r="D67" i="5"/>
  <c r="E67" i="5" s="1"/>
  <c r="H66" i="5"/>
  <c r="B68" i="5"/>
  <c r="A69" i="5"/>
  <c r="G73" i="3"/>
  <c r="H73" i="3"/>
  <c r="F74" i="3"/>
  <c r="A76" i="3"/>
  <c r="B75" i="3"/>
  <c r="D75" i="3" s="1"/>
  <c r="E75" i="3" l="1"/>
  <c r="G67" i="5"/>
  <c r="H67" i="5"/>
  <c r="A70" i="5"/>
  <c r="B69" i="5"/>
  <c r="D68" i="5"/>
  <c r="E68" i="5" s="1"/>
  <c r="F68" i="5"/>
  <c r="G74" i="3"/>
  <c r="H74" i="3"/>
  <c r="F75" i="3"/>
  <c r="A77" i="3"/>
  <c r="B76" i="3"/>
  <c r="D76" i="3" s="1"/>
  <c r="G68" i="5" l="1"/>
  <c r="E76" i="3"/>
  <c r="D69" i="5"/>
  <c r="E69" i="5" s="1"/>
  <c r="F69" i="5"/>
  <c r="H68" i="5"/>
  <c r="A71" i="5"/>
  <c r="B70" i="5"/>
  <c r="G75" i="3"/>
  <c r="H75" i="3"/>
  <c r="F76" i="3"/>
  <c r="A78" i="3"/>
  <c r="B77" i="3"/>
  <c r="D77" i="3" s="1"/>
  <c r="E77" i="3" l="1"/>
  <c r="H69" i="5"/>
  <c r="F70" i="5"/>
  <c r="D70" i="5"/>
  <c r="E70" i="5" s="1"/>
  <c r="G69" i="5"/>
  <c r="B71" i="5"/>
  <c r="A72" i="5"/>
  <c r="G76" i="3"/>
  <c r="H76" i="3"/>
  <c r="F77" i="3"/>
  <c r="B78" i="3"/>
  <c r="D78" i="3" s="1"/>
  <c r="A79" i="3"/>
  <c r="E78" i="3" l="1"/>
  <c r="G70" i="5"/>
  <c r="B72" i="5"/>
  <c r="A73" i="5"/>
  <c r="F71" i="5"/>
  <c r="D71" i="5"/>
  <c r="E71" i="5" s="1"/>
  <c r="H70" i="5"/>
  <c r="G77" i="3"/>
  <c r="H77" i="3"/>
  <c r="A80" i="3"/>
  <c r="B79" i="3"/>
  <c r="D79" i="3" s="1"/>
  <c r="F78" i="3"/>
  <c r="E79" i="3" l="1"/>
  <c r="H71" i="5"/>
  <c r="G71" i="5"/>
  <c r="A74" i="5"/>
  <c r="B73" i="5"/>
  <c r="D72" i="5"/>
  <c r="E72" i="5" s="1"/>
  <c r="F72" i="5"/>
  <c r="G78" i="3"/>
  <c r="H78" i="3"/>
  <c r="F79" i="3"/>
  <c r="A81" i="3"/>
  <c r="B80" i="3"/>
  <c r="D80" i="3" s="1"/>
  <c r="E80" i="3" l="1"/>
  <c r="H72" i="5"/>
  <c r="G72" i="5"/>
  <c r="D73" i="5"/>
  <c r="E73" i="5" s="1"/>
  <c r="F73" i="5"/>
  <c r="A75" i="5"/>
  <c r="B74" i="5"/>
  <c r="G79" i="3"/>
  <c r="H79" i="3"/>
  <c r="F80" i="3"/>
  <c r="A82" i="3"/>
  <c r="B81" i="3"/>
  <c r="D81" i="3" s="1"/>
  <c r="E81" i="3" l="1"/>
  <c r="G73" i="5"/>
  <c r="F74" i="5"/>
  <c r="D74" i="5"/>
  <c r="E74" i="5" s="1"/>
  <c r="B75" i="5"/>
  <c r="A76" i="5"/>
  <c r="H73" i="5"/>
  <c r="G80" i="3"/>
  <c r="H80" i="3"/>
  <c r="F81" i="3"/>
  <c r="A83" i="3"/>
  <c r="B82" i="3"/>
  <c r="D82" i="3" s="1"/>
  <c r="E82" i="3" l="1"/>
  <c r="G74" i="5"/>
  <c r="F75" i="5"/>
  <c r="D75" i="5"/>
  <c r="E75" i="5" s="1"/>
  <c r="H74" i="5"/>
  <c r="B76" i="5"/>
  <c r="A77" i="5"/>
  <c r="G81" i="3"/>
  <c r="H81" i="3"/>
  <c r="F82" i="3"/>
  <c r="A84" i="3"/>
  <c r="B83" i="3"/>
  <c r="D83" i="3" s="1"/>
  <c r="E83" i="3" l="1"/>
  <c r="G75" i="5"/>
  <c r="A78" i="5"/>
  <c r="B77" i="5"/>
  <c r="H75" i="5"/>
  <c r="D76" i="5"/>
  <c r="E76" i="5" s="1"/>
  <c r="F76" i="5"/>
  <c r="G82" i="3"/>
  <c r="H82" i="3"/>
  <c r="F83" i="3"/>
  <c r="A85" i="3"/>
  <c r="B84" i="3"/>
  <c r="D84" i="3" s="1"/>
  <c r="E84" i="3" l="1"/>
  <c r="H76" i="5"/>
  <c r="D77" i="5"/>
  <c r="E77" i="5" s="1"/>
  <c r="F77" i="5"/>
  <c r="G76" i="5"/>
  <c r="A79" i="5"/>
  <c r="B78" i="5"/>
  <c r="G83" i="3"/>
  <c r="H83" i="3"/>
  <c r="F84" i="3"/>
  <c r="A86" i="3"/>
  <c r="B85" i="3"/>
  <c r="D85" i="3" s="1"/>
  <c r="E85" i="3" l="1"/>
  <c r="H77" i="5"/>
  <c r="F78" i="5"/>
  <c r="D78" i="5"/>
  <c r="E78" i="5" s="1"/>
  <c r="G77" i="5"/>
  <c r="B79" i="5"/>
  <c r="A80" i="5"/>
  <c r="G84" i="3"/>
  <c r="H84" i="3"/>
  <c r="F85" i="3"/>
  <c r="A87" i="3"/>
  <c r="B86" i="3"/>
  <c r="D86" i="3" s="1"/>
  <c r="E86" i="3" l="1"/>
  <c r="G78" i="5"/>
  <c r="B80" i="5"/>
  <c r="A81" i="5"/>
  <c r="F79" i="5"/>
  <c r="D79" i="5"/>
  <c r="E79" i="5" s="1"/>
  <c r="H78" i="5"/>
  <c r="G85" i="3"/>
  <c r="H85" i="3"/>
  <c r="F86" i="3"/>
  <c r="A88" i="3"/>
  <c r="B87" i="3"/>
  <c r="D87" i="3" s="1"/>
  <c r="E87" i="3" l="1"/>
  <c r="H79" i="5"/>
  <c r="G79" i="5"/>
  <c r="A82" i="5"/>
  <c r="B81" i="5"/>
  <c r="D80" i="5"/>
  <c r="E80" i="5" s="1"/>
  <c r="F80" i="5"/>
  <c r="G86" i="3"/>
  <c r="H86" i="3"/>
  <c r="F87" i="3"/>
  <c r="A89" i="3"/>
  <c r="B88" i="3"/>
  <c r="D88" i="3" s="1"/>
  <c r="E88" i="3" l="1"/>
  <c r="H80" i="5"/>
  <c r="A83" i="5"/>
  <c r="B82" i="5"/>
  <c r="G80" i="5"/>
  <c r="D81" i="5"/>
  <c r="E81" i="5" s="1"/>
  <c r="F81" i="5"/>
  <c r="G87" i="3"/>
  <c r="H87" i="3"/>
  <c r="F88" i="3"/>
  <c r="A90" i="3"/>
  <c r="B89" i="3"/>
  <c r="D89" i="3" s="1"/>
  <c r="E89" i="3" l="1"/>
  <c r="G81" i="5"/>
  <c r="H81" i="5"/>
  <c r="F82" i="5"/>
  <c r="D82" i="5"/>
  <c r="E82" i="5" s="1"/>
  <c r="B83" i="5"/>
  <c r="A84" i="5"/>
  <c r="G88" i="3"/>
  <c r="H88" i="3"/>
  <c r="F89" i="3"/>
  <c r="A91" i="3"/>
  <c r="B90" i="3"/>
  <c r="D90" i="3" s="1"/>
  <c r="E90" i="3" l="1"/>
  <c r="H82" i="5"/>
  <c r="B84" i="5"/>
  <c r="A85" i="5"/>
  <c r="F83" i="5"/>
  <c r="D83" i="5"/>
  <c r="E83" i="5" s="1"/>
  <c r="G82" i="5"/>
  <c r="G89" i="3"/>
  <c r="H89" i="3"/>
  <c r="F90" i="3"/>
  <c r="A92" i="3"/>
  <c r="B91" i="3"/>
  <c r="D91" i="3" s="1"/>
  <c r="H83" i="5" l="1"/>
  <c r="E91" i="3"/>
  <c r="G83" i="5"/>
  <c r="A86" i="5"/>
  <c r="B85" i="5"/>
  <c r="D84" i="5"/>
  <c r="E84" i="5" s="1"/>
  <c r="F84" i="5"/>
  <c r="G90" i="3"/>
  <c r="H90" i="3"/>
  <c r="F91" i="3"/>
  <c r="A93" i="3"/>
  <c r="B92" i="3"/>
  <c r="D92" i="3" s="1"/>
  <c r="H84" i="5" l="1"/>
  <c r="E92" i="3"/>
  <c r="G84" i="5"/>
  <c r="D85" i="5"/>
  <c r="E85" i="5" s="1"/>
  <c r="F85" i="5"/>
  <c r="A87" i="5"/>
  <c r="B86" i="5"/>
  <c r="G91" i="3"/>
  <c r="H91" i="3"/>
  <c r="F92" i="3"/>
  <c r="A94" i="3"/>
  <c r="B93" i="3"/>
  <c r="D93" i="3" s="1"/>
  <c r="E93" i="3" l="1"/>
  <c r="G85" i="5"/>
  <c r="F86" i="5"/>
  <c r="D86" i="5"/>
  <c r="E86" i="5" s="1"/>
  <c r="B87" i="5"/>
  <c r="A88" i="5"/>
  <c r="H85" i="5"/>
  <c r="G92" i="3"/>
  <c r="H92" i="3"/>
  <c r="F93" i="3"/>
  <c r="A95" i="3"/>
  <c r="B94" i="3"/>
  <c r="D94" i="3" s="1"/>
  <c r="E94" i="3" l="1"/>
  <c r="G86" i="5"/>
  <c r="F87" i="5"/>
  <c r="D87" i="5"/>
  <c r="E87" i="5" s="1"/>
  <c r="B88" i="5"/>
  <c r="A89" i="5"/>
  <c r="H86" i="5"/>
  <c r="G93" i="3"/>
  <c r="H93" i="3"/>
  <c r="F94" i="3"/>
  <c r="A96" i="3"/>
  <c r="B95" i="3"/>
  <c r="D95" i="3" s="1"/>
  <c r="E95" i="3" l="1"/>
  <c r="G87" i="5"/>
  <c r="H87" i="5"/>
  <c r="A90" i="5"/>
  <c r="B89" i="5"/>
  <c r="D88" i="5"/>
  <c r="E88" i="5" s="1"/>
  <c r="F88" i="5"/>
  <c r="G94" i="3"/>
  <c r="H94" i="3"/>
  <c r="F95" i="3"/>
  <c r="A97" i="3"/>
  <c r="B96" i="3"/>
  <c r="D96" i="3" s="1"/>
  <c r="E96" i="3" l="1"/>
  <c r="G88" i="5"/>
  <c r="D89" i="5"/>
  <c r="E89" i="5" s="1"/>
  <c r="F89" i="5"/>
  <c r="H88" i="5"/>
  <c r="A91" i="5"/>
  <c r="B90" i="5"/>
  <c r="G95" i="3"/>
  <c r="H95" i="3"/>
  <c r="F96" i="3"/>
  <c r="A98" i="3"/>
  <c r="B97" i="3"/>
  <c r="D97" i="3" s="1"/>
  <c r="E97" i="3" l="1"/>
  <c r="H89" i="5"/>
  <c r="F90" i="5"/>
  <c r="D90" i="5"/>
  <c r="E90" i="5" s="1"/>
  <c r="G89" i="5"/>
  <c r="A92" i="5"/>
  <c r="B91" i="5"/>
  <c r="G96" i="3"/>
  <c r="H96" i="3"/>
  <c r="F97" i="3"/>
  <c r="A99" i="3"/>
  <c r="B98" i="3"/>
  <c r="D98" i="3" s="1"/>
  <c r="E98" i="3" l="1"/>
  <c r="H90" i="5"/>
  <c r="D91" i="5"/>
  <c r="E91" i="5" s="1"/>
  <c r="F91" i="5"/>
  <c r="B92" i="5"/>
  <c r="A93" i="5"/>
  <c r="G90" i="5"/>
  <c r="G97" i="3"/>
  <c r="H97" i="3"/>
  <c r="F98" i="3"/>
  <c r="A100" i="3"/>
  <c r="B99" i="3"/>
  <c r="D99" i="3" s="1"/>
  <c r="E99" i="3" l="1"/>
  <c r="H91" i="5"/>
  <c r="G91" i="5"/>
  <c r="B93" i="5"/>
  <c r="A94" i="5"/>
  <c r="F92" i="5"/>
  <c r="D92" i="5"/>
  <c r="E92" i="5" s="1"/>
  <c r="G98" i="3"/>
  <c r="H98" i="3"/>
  <c r="F99" i="3"/>
  <c r="A101" i="3"/>
  <c r="B100" i="3"/>
  <c r="D100" i="3" s="1"/>
  <c r="E100" i="3" l="1"/>
  <c r="G92" i="5"/>
  <c r="A95" i="5"/>
  <c r="B94" i="5"/>
  <c r="H92" i="5"/>
  <c r="F93" i="5"/>
  <c r="D93" i="5"/>
  <c r="E93" i="5" s="1"/>
  <c r="G99" i="3"/>
  <c r="H99" i="3"/>
  <c r="F100" i="3"/>
  <c r="A102" i="3"/>
  <c r="B101" i="3"/>
  <c r="D101" i="3" s="1"/>
  <c r="E101" i="3" l="1"/>
  <c r="H93" i="5"/>
  <c r="G93" i="5"/>
  <c r="D94" i="5"/>
  <c r="E94" i="5" s="1"/>
  <c r="F94" i="5"/>
  <c r="A96" i="5"/>
  <c r="B95" i="5"/>
  <c r="G100" i="3"/>
  <c r="H100" i="3"/>
  <c r="F101" i="3"/>
  <c r="A103" i="3"/>
  <c r="B102" i="3"/>
  <c r="D102" i="3" s="1"/>
  <c r="E102" i="3" l="1"/>
  <c r="H94" i="5"/>
  <c r="G94" i="5"/>
  <c r="F95" i="5"/>
  <c r="D95" i="5"/>
  <c r="E95" i="5" s="1"/>
  <c r="B96" i="5"/>
  <c r="A97" i="5"/>
  <c r="G101" i="3"/>
  <c r="H101" i="3"/>
  <c r="F102" i="3"/>
  <c r="A104" i="3"/>
  <c r="B103" i="3"/>
  <c r="D103" i="3" s="1"/>
  <c r="E103" i="3" l="1"/>
  <c r="H95" i="5"/>
  <c r="B97" i="5"/>
  <c r="A98" i="5"/>
  <c r="F96" i="5"/>
  <c r="D96" i="5"/>
  <c r="E96" i="5" s="1"/>
  <c r="G95" i="5"/>
  <c r="G102" i="3"/>
  <c r="H102" i="3"/>
  <c r="F103" i="3"/>
  <c r="A105" i="3"/>
  <c r="B104" i="3"/>
  <c r="D104" i="3" s="1"/>
  <c r="H96" i="5" l="1"/>
  <c r="E104" i="3"/>
  <c r="G96" i="5"/>
  <c r="A99" i="5"/>
  <c r="B98" i="5"/>
  <c r="D97" i="5"/>
  <c r="E97" i="5" s="1"/>
  <c r="F97" i="5"/>
  <c r="G97" i="5" s="1"/>
  <c r="G103" i="3"/>
  <c r="H103" i="3"/>
  <c r="F104" i="3"/>
  <c r="A106" i="3"/>
  <c r="B105" i="3"/>
  <c r="D105" i="3" s="1"/>
  <c r="E105" i="3" l="1"/>
  <c r="H97" i="5"/>
  <c r="A100" i="5"/>
  <c r="B99" i="5"/>
  <c r="D98" i="5"/>
  <c r="E98" i="5" s="1"/>
  <c r="F98" i="5"/>
  <c r="G104" i="3"/>
  <c r="H104" i="3"/>
  <c r="F105" i="3"/>
  <c r="A107" i="3"/>
  <c r="B106" i="3"/>
  <c r="D106" i="3" s="1"/>
  <c r="E106" i="3" l="1"/>
  <c r="H98" i="5"/>
  <c r="G98" i="5"/>
  <c r="F99" i="5"/>
  <c r="D99" i="5"/>
  <c r="E99" i="5" s="1"/>
  <c r="B100" i="5"/>
  <c r="A101" i="5"/>
  <c r="G105" i="3"/>
  <c r="H105" i="3"/>
  <c r="F106" i="3"/>
  <c r="A108" i="3"/>
  <c r="B107" i="3"/>
  <c r="D107" i="3" s="1"/>
  <c r="E107" i="3" l="1"/>
  <c r="G99" i="5"/>
  <c r="H99" i="5"/>
  <c r="B101" i="5"/>
  <c r="A102" i="5"/>
  <c r="F100" i="5"/>
  <c r="G100" i="5" s="1"/>
  <c r="D100" i="5"/>
  <c r="E100" i="5" s="1"/>
  <c r="G106" i="3"/>
  <c r="H106" i="3"/>
  <c r="F107" i="3"/>
  <c r="A109" i="3"/>
  <c r="B108" i="3"/>
  <c r="D108" i="3" s="1"/>
  <c r="E108" i="3" l="1"/>
  <c r="H100" i="5"/>
  <c r="D101" i="5"/>
  <c r="E101" i="5" s="1"/>
  <c r="F101" i="5"/>
  <c r="G101" i="5" s="1"/>
  <c r="A103" i="5"/>
  <c r="B102" i="5"/>
  <c r="G107" i="3"/>
  <c r="H107" i="3"/>
  <c r="F108" i="3"/>
  <c r="A110" i="3"/>
  <c r="B109" i="3"/>
  <c r="D109" i="3" s="1"/>
  <c r="E109" i="3" l="1"/>
  <c r="H101" i="5"/>
  <c r="D102" i="5"/>
  <c r="E102" i="5" s="1"/>
  <c r="F102" i="5"/>
  <c r="A104" i="5"/>
  <c r="B103" i="5"/>
  <c r="G108" i="3"/>
  <c r="H108" i="3"/>
  <c r="F109" i="3"/>
  <c r="A111" i="3"/>
  <c r="B110" i="3"/>
  <c r="D110" i="3" s="1"/>
  <c r="E110" i="3" l="1"/>
  <c r="H102" i="5"/>
  <c r="B104" i="5"/>
  <c r="A105" i="5"/>
  <c r="F103" i="5"/>
  <c r="D103" i="5"/>
  <c r="E103" i="5" s="1"/>
  <c r="G102" i="5"/>
  <c r="G109" i="3"/>
  <c r="H109" i="3"/>
  <c r="F110" i="3"/>
  <c r="A112" i="3"/>
  <c r="B111" i="3"/>
  <c r="D111" i="3" s="1"/>
  <c r="H103" i="5" l="1"/>
  <c r="E111" i="3"/>
  <c r="G103" i="5"/>
  <c r="B105" i="5"/>
  <c r="A106" i="5"/>
  <c r="F104" i="5"/>
  <c r="D104" i="5"/>
  <c r="E104" i="5" s="1"/>
  <c r="G110" i="3"/>
  <c r="H110" i="3"/>
  <c r="F111" i="3"/>
  <c r="A113" i="3"/>
  <c r="B112" i="3"/>
  <c r="D112" i="3" s="1"/>
  <c r="G104" i="5" l="1"/>
  <c r="E112" i="3"/>
  <c r="H104" i="5"/>
  <c r="A107" i="5"/>
  <c r="B106" i="5"/>
  <c r="D105" i="5"/>
  <c r="E105" i="5" s="1"/>
  <c r="F105" i="5"/>
  <c r="H105" i="5" s="1"/>
  <c r="G111" i="3"/>
  <c r="H111" i="3"/>
  <c r="F112" i="3"/>
  <c r="A114" i="3"/>
  <c r="B113" i="3"/>
  <c r="D113" i="3" s="1"/>
  <c r="E113" i="3" l="1"/>
  <c r="G105" i="5"/>
  <c r="D106" i="5"/>
  <c r="E106" i="5" s="1"/>
  <c r="F106" i="5"/>
  <c r="H106" i="5" s="1"/>
  <c r="A108" i="5"/>
  <c r="B107" i="5"/>
  <c r="G112" i="3"/>
  <c r="H112" i="3"/>
  <c r="F113" i="3"/>
  <c r="A115" i="3"/>
  <c r="B114" i="3"/>
  <c r="D114" i="3" s="1"/>
  <c r="E114" i="3" l="1"/>
  <c r="G106" i="5"/>
  <c r="F107" i="5"/>
  <c r="H107" i="5" s="1"/>
  <c r="D107" i="5"/>
  <c r="E107" i="5" s="1"/>
  <c r="B108" i="5"/>
  <c r="A109" i="5"/>
  <c r="G113" i="3"/>
  <c r="H113" i="3"/>
  <c r="F114" i="3"/>
  <c r="A116" i="3"/>
  <c r="B115" i="3"/>
  <c r="D115" i="3" s="1"/>
  <c r="E115" i="3" l="1"/>
  <c r="B109" i="5"/>
  <c r="A110" i="5"/>
  <c r="F108" i="5"/>
  <c r="D108" i="5"/>
  <c r="E108" i="5" s="1"/>
  <c r="G107" i="5"/>
  <c r="G114" i="3"/>
  <c r="H114" i="3"/>
  <c r="F115" i="3"/>
  <c r="A117" i="3"/>
  <c r="B116" i="3"/>
  <c r="D116" i="3" s="1"/>
  <c r="E116" i="3" l="1"/>
  <c r="G108" i="5"/>
  <c r="H108" i="5"/>
  <c r="D109" i="5"/>
  <c r="E109" i="5" s="1"/>
  <c r="F109" i="5"/>
  <c r="A111" i="5"/>
  <c r="B110" i="5"/>
  <c r="G115" i="3"/>
  <c r="H115" i="3"/>
  <c r="F116" i="3"/>
  <c r="A118" i="3"/>
  <c r="B117" i="3"/>
  <c r="D117" i="3" s="1"/>
  <c r="E117" i="3" l="1"/>
  <c r="H109" i="5"/>
  <c r="G109" i="5"/>
  <c r="D110" i="5"/>
  <c r="E110" i="5" s="1"/>
  <c r="F110" i="5"/>
  <c r="A112" i="5"/>
  <c r="B111" i="5"/>
  <c r="G116" i="3"/>
  <c r="H116" i="3"/>
  <c r="F117" i="3"/>
  <c r="A119" i="3"/>
  <c r="B118" i="3"/>
  <c r="D118" i="3" s="1"/>
  <c r="H110" i="5" l="1"/>
  <c r="E118" i="3"/>
  <c r="G110" i="5"/>
  <c r="F111" i="5"/>
  <c r="D111" i="5"/>
  <c r="E111" i="5" s="1"/>
  <c r="B112" i="5"/>
  <c r="A113" i="5"/>
  <c r="G117" i="3"/>
  <c r="H117" i="3"/>
  <c r="F118" i="3"/>
  <c r="A120" i="3"/>
  <c r="B119" i="3"/>
  <c r="D119" i="3" s="1"/>
  <c r="H111" i="5" l="1"/>
  <c r="E119" i="3"/>
  <c r="F112" i="5"/>
  <c r="D112" i="5"/>
  <c r="E112" i="5" s="1"/>
  <c r="G111" i="5"/>
  <c r="B113" i="5"/>
  <c r="A114" i="5"/>
  <c r="G118" i="3"/>
  <c r="H118" i="3"/>
  <c r="F119" i="3"/>
  <c r="A121" i="3"/>
  <c r="B120" i="3"/>
  <c r="D120" i="3" s="1"/>
  <c r="H112" i="5" l="1"/>
  <c r="E120" i="3"/>
  <c r="G112" i="5"/>
  <c r="A115" i="5"/>
  <c r="B114" i="5"/>
  <c r="D113" i="5"/>
  <c r="E113" i="5" s="1"/>
  <c r="F113" i="5"/>
  <c r="G119" i="3"/>
  <c r="H119" i="3"/>
  <c r="F120" i="3"/>
  <c r="A122" i="3"/>
  <c r="B121" i="3"/>
  <c r="D121" i="3" s="1"/>
  <c r="H113" i="5" l="1"/>
  <c r="E121" i="3"/>
  <c r="D114" i="5"/>
  <c r="E114" i="5" s="1"/>
  <c r="F114" i="5"/>
  <c r="G113" i="5"/>
  <c r="A116" i="5"/>
  <c r="B115" i="5"/>
  <c r="G120" i="3"/>
  <c r="H120" i="3"/>
  <c r="F121" i="3"/>
  <c r="A123" i="3"/>
  <c r="B122" i="3"/>
  <c r="D122" i="3" s="1"/>
  <c r="H114" i="5" l="1"/>
  <c r="E122" i="3"/>
  <c r="F115" i="5"/>
  <c r="D115" i="5"/>
  <c r="E115" i="5" s="1"/>
  <c r="B116" i="5"/>
  <c r="A117" i="5"/>
  <c r="G114" i="5"/>
  <c r="G121" i="3"/>
  <c r="H121" i="3"/>
  <c r="F122" i="3"/>
  <c r="A124" i="3"/>
  <c r="B123" i="3"/>
  <c r="D123" i="3" s="1"/>
  <c r="E123" i="3" l="1"/>
  <c r="G115" i="5"/>
  <c r="H115" i="5"/>
  <c r="B117" i="5"/>
  <c r="A118" i="5"/>
  <c r="F116" i="5"/>
  <c r="G116" i="5" s="1"/>
  <c r="D116" i="5"/>
  <c r="E116" i="5" s="1"/>
  <c r="G122" i="3"/>
  <c r="H122" i="3"/>
  <c r="F123" i="3"/>
  <c r="A125" i="3"/>
  <c r="B124" i="3"/>
  <c r="D124" i="3" s="1"/>
  <c r="E124" i="3" l="1"/>
  <c r="H116" i="5"/>
  <c r="A119" i="5"/>
  <c r="B118" i="5"/>
  <c r="D117" i="5"/>
  <c r="E117" i="5" s="1"/>
  <c r="F117" i="5"/>
  <c r="G123" i="3"/>
  <c r="H123" i="3"/>
  <c r="F124" i="3"/>
  <c r="A126" i="3"/>
  <c r="B125" i="3"/>
  <c r="D125" i="3" s="1"/>
  <c r="E125" i="3" l="1"/>
  <c r="H117" i="5"/>
  <c r="D118" i="5"/>
  <c r="E118" i="5" s="1"/>
  <c r="F118" i="5"/>
  <c r="G117" i="5"/>
  <c r="A120" i="5"/>
  <c r="B119" i="5"/>
  <c r="G124" i="3"/>
  <c r="H124" i="3"/>
  <c r="F125" i="3"/>
  <c r="A127" i="3"/>
  <c r="B126" i="3"/>
  <c r="D126" i="3" s="1"/>
  <c r="E126" i="3" l="1"/>
  <c r="H118" i="5"/>
  <c r="F119" i="5"/>
  <c r="D119" i="5"/>
  <c r="E119" i="5" s="1"/>
  <c r="B120" i="5"/>
  <c r="A121" i="5"/>
  <c r="G118" i="5"/>
  <c r="G125" i="3"/>
  <c r="H125" i="3"/>
  <c r="F126" i="3"/>
  <c r="A128" i="3"/>
  <c r="B127" i="3"/>
  <c r="D127" i="3" s="1"/>
  <c r="E127" i="3" l="1"/>
  <c r="G119" i="5"/>
  <c r="H119" i="5"/>
  <c r="B121" i="5"/>
  <c r="A122" i="5"/>
  <c r="F120" i="5"/>
  <c r="G120" i="5" s="1"/>
  <c r="D120" i="5"/>
  <c r="E120" i="5" s="1"/>
  <c r="G126" i="3"/>
  <c r="H126" i="3"/>
  <c r="F127" i="3"/>
  <c r="A129" i="3"/>
  <c r="B128" i="3"/>
  <c r="D128" i="3" s="1"/>
  <c r="E128" i="3" l="1"/>
  <c r="H120" i="5"/>
  <c r="A123" i="5"/>
  <c r="B122" i="5"/>
  <c r="D121" i="5"/>
  <c r="E121" i="5" s="1"/>
  <c r="F121" i="5"/>
  <c r="H121" i="5" s="1"/>
  <c r="G127" i="3"/>
  <c r="H127" i="3"/>
  <c r="F128" i="3"/>
  <c r="A130" i="3"/>
  <c r="B129" i="3"/>
  <c r="D129" i="3" s="1"/>
  <c r="E129" i="3" l="1"/>
  <c r="D122" i="5"/>
  <c r="E122" i="5" s="1"/>
  <c r="F122" i="5"/>
  <c r="H122" i="5" s="1"/>
  <c r="G121" i="5"/>
  <c r="A124" i="5"/>
  <c r="B123" i="5"/>
  <c r="G128" i="3"/>
  <c r="H128" i="3"/>
  <c r="F129" i="3"/>
  <c r="A131" i="3"/>
  <c r="B130" i="3"/>
  <c r="D130" i="3" s="1"/>
  <c r="E130" i="3" l="1"/>
  <c r="F123" i="5"/>
  <c r="H123" i="5" s="1"/>
  <c r="D123" i="5"/>
  <c r="E123" i="5" s="1"/>
  <c r="B124" i="5"/>
  <c r="A125" i="5"/>
  <c r="G122" i="5"/>
  <c r="G129" i="3"/>
  <c r="H129" i="3"/>
  <c r="F130" i="3"/>
  <c r="A132" i="3"/>
  <c r="B131" i="3"/>
  <c r="D131" i="3" s="1"/>
  <c r="E131" i="3" l="1"/>
  <c r="F124" i="5"/>
  <c r="H124" i="5" s="1"/>
  <c r="D124" i="5"/>
  <c r="E124" i="5" s="1"/>
  <c r="G123" i="5"/>
  <c r="B125" i="5"/>
  <c r="A126" i="5"/>
  <c r="G130" i="3"/>
  <c r="H130" i="3"/>
  <c r="F131" i="3"/>
  <c r="A133" i="3"/>
  <c r="B132" i="3"/>
  <c r="D132" i="3" s="1"/>
  <c r="E132" i="3" l="1"/>
  <c r="G124" i="5"/>
  <c r="A127" i="5"/>
  <c r="B126" i="5"/>
  <c r="D125" i="5"/>
  <c r="E125" i="5" s="1"/>
  <c r="F125" i="5"/>
  <c r="H125" i="5" s="1"/>
  <c r="G131" i="3"/>
  <c r="H131" i="3"/>
  <c r="F132" i="3"/>
  <c r="A134" i="3"/>
  <c r="B133" i="3"/>
  <c r="D133" i="3" s="1"/>
  <c r="E133" i="3" l="1"/>
  <c r="D126" i="5"/>
  <c r="E126" i="5" s="1"/>
  <c r="F126" i="5"/>
  <c r="H126" i="5" s="1"/>
  <c r="G125" i="5"/>
  <c r="A128" i="5"/>
  <c r="B127" i="5"/>
  <c r="G132" i="3"/>
  <c r="H132" i="3"/>
  <c r="F133" i="3"/>
  <c r="A135" i="3"/>
  <c r="B134" i="3"/>
  <c r="D134" i="3" s="1"/>
  <c r="E134" i="3" l="1"/>
  <c r="F127" i="5"/>
  <c r="H127" i="5" s="1"/>
  <c r="D127" i="5"/>
  <c r="E127" i="5" s="1"/>
  <c r="B128" i="5"/>
  <c r="A129" i="5"/>
  <c r="G126" i="5"/>
  <c r="G133" i="3"/>
  <c r="H133" i="3"/>
  <c r="F134" i="3"/>
  <c r="A136" i="3"/>
  <c r="B135" i="3"/>
  <c r="D135" i="3" s="1"/>
  <c r="E135" i="3" l="1"/>
  <c r="F128" i="5"/>
  <c r="H128" i="5" s="1"/>
  <c r="D128" i="5"/>
  <c r="E128" i="5" s="1"/>
  <c r="G127" i="5"/>
  <c r="B129" i="5"/>
  <c r="A130" i="5"/>
  <c r="G134" i="3"/>
  <c r="H134" i="3"/>
  <c r="F135" i="3"/>
  <c r="A137" i="3"/>
  <c r="B136" i="3"/>
  <c r="D136" i="3" s="1"/>
  <c r="E136" i="3" l="1"/>
  <c r="G128" i="5"/>
  <c r="A131" i="5"/>
  <c r="B130" i="5"/>
  <c r="D129" i="5"/>
  <c r="E129" i="5" s="1"/>
  <c r="F129" i="5"/>
  <c r="H129" i="5" s="1"/>
  <c r="G135" i="3"/>
  <c r="H135" i="3"/>
  <c r="F136" i="3"/>
  <c r="A138" i="3"/>
  <c r="B137" i="3"/>
  <c r="D137" i="3" s="1"/>
  <c r="E137" i="3" l="1"/>
  <c r="D130" i="5"/>
  <c r="E130" i="5" s="1"/>
  <c r="F130" i="5"/>
  <c r="H130" i="5" s="1"/>
  <c r="G129" i="5"/>
  <c r="A132" i="5"/>
  <c r="B131" i="5"/>
  <c r="G136" i="3"/>
  <c r="H136" i="3"/>
  <c r="F137" i="3"/>
  <c r="B138" i="3"/>
  <c r="D138" i="3" s="1"/>
  <c r="E138" i="3" l="1"/>
  <c r="F131" i="5"/>
  <c r="D131" i="5"/>
  <c r="E131" i="5" s="1"/>
  <c r="B132" i="5"/>
  <c r="A133" i="5"/>
  <c r="G130" i="5"/>
  <c r="G137" i="3"/>
  <c r="H137" i="3"/>
  <c r="F138" i="3"/>
  <c r="G131" i="5" l="1"/>
  <c r="H131" i="5"/>
  <c r="B133" i="5"/>
  <c r="A134" i="5"/>
  <c r="F132" i="5"/>
  <c r="D132" i="5"/>
  <c r="E132" i="5" s="1"/>
  <c r="G138" i="3"/>
  <c r="H138" i="3"/>
  <c r="G132" i="5" l="1"/>
  <c r="H132" i="5"/>
  <c r="A135" i="5"/>
  <c r="B134" i="5"/>
  <c r="D133" i="5"/>
  <c r="E133" i="5" s="1"/>
  <c r="F133" i="5"/>
  <c r="H133" i="5" s="1"/>
  <c r="G133" i="5" l="1"/>
  <c r="D134" i="5"/>
  <c r="E134" i="5" s="1"/>
  <c r="F134" i="5"/>
  <c r="H134" i="5" s="1"/>
  <c r="A136" i="5"/>
  <c r="B135" i="5"/>
  <c r="F135" i="5" l="1"/>
  <c r="D135" i="5"/>
  <c r="E135" i="5" s="1"/>
  <c r="B136" i="5"/>
  <c r="A137" i="5"/>
  <c r="G134" i="5"/>
  <c r="G135" i="5" l="1"/>
  <c r="H135" i="5"/>
  <c r="B137" i="5"/>
  <c r="A138" i="5"/>
  <c r="B138" i="5" s="1"/>
  <c r="F136" i="5"/>
  <c r="G136" i="5" s="1"/>
  <c r="D136" i="5"/>
  <c r="E136" i="5" s="1"/>
  <c r="H136" i="5" l="1"/>
  <c r="D138" i="5"/>
  <c r="F138" i="5"/>
  <c r="D137" i="5"/>
  <c r="E137" i="5" s="1"/>
  <c r="F137" i="5"/>
  <c r="G137" i="5" s="1"/>
  <c r="E138" i="5" l="1"/>
  <c r="H137" i="5"/>
  <c r="H138" i="5" s="1"/>
  <c r="G138" i="5"/>
</calcChain>
</file>

<file path=xl/sharedStrings.xml><?xml version="1.0" encoding="utf-8"?>
<sst xmlns="http://schemas.openxmlformats.org/spreadsheetml/2006/main" count="65" uniqueCount="43">
  <si>
    <t>upsilon</t>
  </si>
  <si>
    <t>eta</t>
  </si>
  <si>
    <t>beta</t>
  </si>
  <si>
    <t>http://reliawiki.org/index.php/The_Weibull_Distribution</t>
  </si>
  <si>
    <t>Weibull pdf (3 parameter)</t>
  </si>
  <si>
    <t>WB 3-para calcs</t>
  </si>
  <si>
    <t>Time period (yrs)</t>
  </si>
  <si>
    <t>mfr date</t>
  </si>
  <si>
    <t>Operational Margin (years) =</t>
  </si>
  <si>
    <t>Risk to Ops PDF</t>
  </si>
  <si>
    <t>(delay between test PDF and operational performance PDF)</t>
  </si>
  <si>
    <t>Allocated Reliability</t>
  </si>
  <si>
    <t>(scale parameter - median life of failure mechanism maturity cycle)</t>
  </si>
  <si>
    <t>Est. Reliablility</t>
  </si>
  <si>
    <t>Risk to Ops CDF</t>
  </si>
  <si>
    <t>FM CDF</t>
  </si>
  <si>
    <t>Failure Mechanism PDF</t>
  </si>
  <si>
    <t xml:space="preserve">Shape rationale: </t>
  </si>
  <si>
    <t xml:space="preserve">Scale rationale: </t>
  </si>
  <si>
    <t>Location rationale:</t>
  </si>
  <si>
    <t>(shape/slope parameter)
     [typical: 3,4, or 6]</t>
  </si>
  <si>
    <r>
      <t xml:space="preserve">(location parameter / failure free life) </t>
    </r>
    <r>
      <rPr>
        <sz val="11"/>
        <color rgb="FFFF0000"/>
        <rFont val="Calibri"/>
        <family val="2"/>
        <scheme val="minor"/>
      </rPr>
      <t>[ NLT  0 ]</t>
    </r>
  </si>
  <si>
    <t>Metal Film Resistor</t>
  </si>
  <si>
    <t xml:space="preserve">Level 1 test result shows performance well within threshold after 30 plus years </t>
  </si>
  <si>
    <t>Wet Tantalum Capacitor in FBPEU</t>
  </si>
  <si>
    <t xml:space="preserve">Research shows WTC Betas can range from 1.5 to 5. This calculation assumes a Beta of 3 due to the lack of test data available  </t>
  </si>
  <si>
    <t xml:space="preserve">ASIA teardown shows evidence of the onset of Electrolyte leakage which can take many year to complete. The WTC under evaluation are not exposed to high electrical stress condition but are exposed to many years to ambient thermal cycling which ahs a smaller effects on integrity of the seal.
 </t>
  </si>
  <si>
    <t>Assumptions: Main failure mechanism is the Electrolyte leakage causing open circuit</t>
  </si>
  <si>
    <t>References: ---- "FAILURE MECHANISMS IN WET TANTALUM CAPACITORS" Published in Electrocomponent Science and Technology 1976, Vol. 2, pp. 249--257</t>
  </si>
  <si>
    <t>References: Vishay Intertechnology (Mil-PRF-55182)</t>
  </si>
  <si>
    <t>Assumptions: 2 % resistance drift in 10,000hrs, failure rate per 1000hrs = .001%</t>
  </si>
  <si>
    <t>FBPEU Service Life Impact Due To Resistor R1</t>
  </si>
  <si>
    <t>Metal film resistors age at nearly a linear rate, gradually over time, largely dependent on thermal cycles, amount of current and humidity.</t>
  </si>
  <si>
    <t>R1 Resistor degrade rate/yr</t>
  </si>
  <si>
    <t>year</t>
  </si>
  <si>
    <t>age</t>
  </si>
  <si>
    <t>R(t)</t>
  </si>
  <si>
    <t>R(t) decline delta</t>
  </si>
  <si>
    <t>Assume a 10% drift in R1 (22.6K ohm resistor) to be at a level that causes AR1 (comparator) to generate a degraded output.</t>
  </si>
  <si>
    <t>Allocated reliability</t>
  </si>
  <si>
    <r>
      <t xml:space="preserve">References: </t>
    </r>
    <r>
      <rPr>
        <b/>
        <sz val="20"/>
        <color rgb="FFFF0000"/>
        <rFont val="Calibri"/>
        <family val="2"/>
        <scheme val="minor"/>
      </rPr>
      <t>Vishay Intertechnology (Mil-PRF-55182)</t>
    </r>
  </si>
  <si>
    <t>R(t) declines by 5% in year 2038</t>
  </si>
  <si>
    <t>Op Design Margin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</si>
</sst>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0"/>
    <numFmt numFmtId="165" formatCode="0.000"/>
    <numFmt numFmtId="166" formatCode="0.00000"/>
    <numFmt numFmtId="167" formatCode="0.000000000"/>
  </numFmts>
  <fonts count="7" x14ac:knownFonts="1">
    <font>
      <sz val="11"/>
      <color theme="1"/>
      <name val="Calibri"/>
      <family val="2"/>
      <scheme val="minor"/>
    </font>
    <font>
      <u/>
      <sz val="11"/>
      <color theme="10"/>
      <name val="Calibri"/>
      <family val="2"/>
      <scheme val="minor"/>
    </font>
    <font>
      <sz val="11"/>
      <name val="Calibri"/>
      <family val="2"/>
      <scheme val="minor"/>
    </font>
    <font>
      <b/>
      <sz val="20"/>
      <color theme="1"/>
      <name val="Calibri"/>
      <family val="2"/>
      <scheme val="minor"/>
    </font>
    <font>
      <sz val="11"/>
      <color rgb="FFFF0000"/>
      <name val="Calibri"/>
      <family val="2"/>
      <scheme val="minor"/>
    </font>
    <font>
      <b/>
      <sz val="20"/>
      <color rgb="FFFF0000"/>
      <name val="Calibri"/>
      <family val="2"/>
      <scheme val="minor"/>
    </font>
    <font>
      <b/>
      <i/>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5999938962981048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xf numFmtId="0" fontId="0" fillId="0" borderId="0" xfId="0" quotePrefix="1"/>
    <xf numFmtId="0" fontId="0" fillId="2" borderId="0" xfId="0" applyFill="1"/>
    <xf numFmtId="0" fontId="0" fillId="3" borderId="0" xfId="0" applyFill="1"/>
    <xf numFmtId="0" fontId="0" fillId="0" borderId="0" xfId="0" quotePrefix="1" applyAlignment="1"/>
    <xf numFmtId="0" fontId="0" fillId="0" borderId="0" xfId="0" applyAlignment="1"/>
    <xf numFmtId="0" fontId="1" fillId="0" borderId="0" xfId="1"/>
    <xf numFmtId="164" fontId="0" fillId="0" borderId="0" xfId="0" applyNumberFormat="1" applyAlignment="1">
      <alignment horizontal="right"/>
    </xf>
    <xf numFmtId="0" fontId="0" fillId="0" borderId="0" xfId="0" applyAlignment="1">
      <alignment horizontal="right"/>
    </xf>
    <xf numFmtId="165" fontId="0" fillId="0" borderId="0" xfId="0" applyNumberFormat="1"/>
    <xf numFmtId="165" fontId="0" fillId="0" borderId="0" xfId="0" applyNumberFormat="1" applyAlignment="1">
      <alignment horizontal="right"/>
    </xf>
    <xf numFmtId="165" fontId="0" fillId="0" borderId="0" xfId="0" quotePrefix="1" applyNumberFormat="1"/>
    <xf numFmtId="1" fontId="0" fillId="2" borderId="0" xfId="0" applyNumberFormat="1" applyFill="1" applyAlignment="1">
      <alignment horizontal="center"/>
    </xf>
    <xf numFmtId="165" fontId="0" fillId="4" borderId="0" xfId="0" applyNumberFormat="1" applyFill="1"/>
    <xf numFmtId="0" fontId="0" fillId="4" borderId="0" xfId="0" applyFill="1"/>
    <xf numFmtId="165" fontId="0" fillId="4" borderId="0" xfId="0" quotePrefix="1" applyNumberFormat="1" applyFill="1" applyAlignment="1">
      <alignment horizontal="right"/>
    </xf>
    <xf numFmtId="0" fontId="0" fillId="0" borderId="0" xfId="0" applyFill="1"/>
    <xf numFmtId="0" fontId="3" fillId="0" borderId="0" xfId="0" applyFont="1" applyAlignment="1">
      <alignment horizontal="center" vertical="center"/>
    </xf>
    <xf numFmtId="165" fontId="0" fillId="0" borderId="0" xfId="0" applyNumberFormat="1" applyFill="1"/>
    <xf numFmtId="0" fontId="3" fillId="0" borderId="0" xfId="0" applyFont="1" applyAlignment="1">
      <alignment horizontal="center" vertical="center"/>
    </xf>
    <xf numFmtId="167" fontId="0" fillId="0" borderId="0" xfId="0" applyNumberFormat="1" applyAlignment="1"/>
    <xf numFmtId="167" fontId="0" fillId="0" borderId="0" xfId="0" applyNumberFormat="1" applyFill="1" applyAlignment="1"/>
    <xf numFmtId="166" fontId="0" fillId="0" borderId="0" xfId="0" applyNumberFormat="1" applyFill="1"/>
    <xf numFmtId="0" fontId="0" fillId="0" borderId="0" xfId="0" quotePrefix="1" applyAlignment="1">
      <alignment wrapText="1"/>
    </xf>
    <xf numFmtId="0" fontId="3" fillId="0" borderId="0" xfId="0" applyFont="1" applyAlignment="1">
      <alignment horizontal="center" vertical="center"/>
    </xf>
    <xf numFmtId="0" fontId="0" fillId="0" borderId="0" xfId="0" applyNumberFormat="1"/>
    <xf numFmtId="0" fontId="0" fillId="0" borderId="0" xfId="0" applyNumberFormat="1" applyAlignment="1">
      <alignment horizontal="center"/>
    </xf>
    <xf numFmtId="0" fontId="2" fillId="2" borderId="0" xfId="0" quotePrefix="1" applyNumberFormat="1" applyFont="1" applyFill="1"/>
    <xf numFmtId="165" fontId="0" fillId="0" borderId="0" xfId="0" applyNumberFormat="1" applyAlignment="1"/>
    <xf numFmtId="0" fontId="3"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6" fillId="2" borderId="0" xfId="0" applyFont="1" applyFill="1"/>
    <xf numFmtId="0" fontId="3" fillId="0" borderId="0" xfId="0" applyFont="1" applyAlignment="1">
      <alignment horizontal="center" vertical="center"/>
    </xf>
    <xf numFmtId="0" fontId="3" fillId="0" borderId="0" xfId="0" applyFont="1" applyAlignment="1">
      <alignment horizontal="center" vertical="center"/>
    </xf>
    <xf numFmtId="165" fontId="0" fillId="4" borderId="0" xfId="0" applyNumberFormat="1" applyFill="1" applyAlignment="1">
      <alignment vertical="center" wrapText="1"/>
    </xf>
    <xf numFmtId="0" fontId="3"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618828086136058"/>
          <c:y val="0.17815584549051483"/>
          <c:w val="0.77434165946840583"/>
          <c:h val="0.62928563729858966"/>
        </c:manualLayout>
      </c:layout>
      <c:areaChart>
        <c:grouping val="standard"/>
        <c:varyColors val="0"/>
        <c:ser>
          <c:idx val="0"/>
          <c:order val="0"/>
          <c:tx>
            <c:strRef>
              <c:f>'Failure Mode Effects Model- WTC'!$D$22</c:f>
              <c:strCache>
                <c:ptCount val="1"/>
                <c:pt idx="0">
                  <c:v>Failure Mechanism PDF</c:v>
                </c:pt>
              </c:strCache>
            </c:strRef>
          </c:tx>
          <c:spPr>
            <a:solidFill>
              <a:schemeClr val="accent1">
                <a:lumMod val="20000"/>
                <a:lumOff val="80000"/>
              </a:schemeClr>
            </a:solidFill>
            <a:ln w="3175">
              <a:solidFill>
                <a:schemeClr val="accent3">
                  <a:lumMod val="60000"/>
                  <a:lumOff val="40000"/>
                  <a:alpha val="0"/>
                </a:schemeClr>
              </a:solidFill>
            </a:ln>
          </c:spPr>
          <c:cat>
            <c:numRef>
              <c:f>'Failure Mode Effects Model- WTC'!$A$23:$A$137</c:f>
              <c:numCache>
                <c:formatCode>General</c:formatCode>
                <c:ptCount val="115"/>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pt idx="41">
                  <c:v>2026</c:v>
                </c:pt>
                <c:pt idx="42">
                  <c:v>2027</c:v>
                </c:pt>
                <c:pt idx="43">
                  <c:v>2028</c:v>
                </c:pt>
                <c:pt idx="44">
                  <c:v>2029</c:v>
                </c:pt>
                <c:pt idx="45">
                  <c:v>2030</c:v>
                </c:pt>
                <c:pt idx="46">
                  <c:v>2031</c:v>
                </c:pt>
                <c:pt idx="47">
                  <c:v>2032</c:v>
                </c:pt>
                <c:pt idx="48">
                  <c:v>2033</c:v>
                </c:pt>
                <c:pt idx="49">
                  <c:v>2034</c:v>
                </c:pt>
                <c:pt idx="50">
                  <c:v>2035</c:v>
                </c:pt>
                <c:pt idx="51">
                  <c:v>2036</c:v>
                </c:pt>
                <c:pt idx="52">
                  <c:v>2037</c:v>
                </c:pt>
                <c:pt idx="53">
                  <c:v>2038</c:v>
                </c:pt>
                <c:pt idx="54">
                  <c:v>2039</c:v>
                </c:pt>
                <c:pt idx="55">
                  <c:v>2040</c:v>
                </c:pt>
                <c:pt idx="56">
                  <c:v>2041</c:v>
                </c:pt>
                <c:pt idx="57">
                  <c:v>2042</c:v>
                </c:pt>
                <c:pt idx="58">
                  <c:v>2043</c:v>
                </c:pt>
                <c:pt idx="59">
                  <c:v>2044</c:v>
                </c:pt>
                <c:pt idx="60">
                  <c:v>2045</c:v>
                </c:pt>
                <c:pt idx="61">
                  <c:v>2046</c:v>
                </c:pt>
                <c:pt idx="62">
                  <c:v>2047</c:v>
                </c:pt>
                <c:pt idx="63">
                  <c:v>2048</c:v>
                </c:pt>
                <c:pt idx="64">
                  <c:v>2049</c:v>
                </c:pt>
                <c:pt idx="65">
                  <c:v>2050</c:v>
                </c:pt>
                <c:pt idx="66">
                  <c:v>2051</c:v>
                </c:pt>
                <c:pt idx="67">
                  <c:v>2052</c:v>
                </c:pt>
                <c:pt idx="68">
                  <c:v>2053</c:v>
                </c:pt>
                <c:pt idx="69">
                  <c:v>2054</c:v>
                </c:pt>
                <c:pt idx="70">
                  <c:v>2055</c:v>
                </c:pt>
                <c:pt idx="71">
                  <c:v>2056</c:v>
                </c:pt>
                <c:pt idx="72">
                  <c:v>2057</c:v>
                </c:pt>
                <c:pt idx="73">
                  <c:v>2058</c:v>
                </c:pt>
                <c:pt idx="74">
                  <c:v>2059</c:v>
                </c:pt>
                <c:pt idx="75">
                  <c:v>2060</c:v>
                </c:pt>
                <c:pt idx="76">
                  <c:v>2061</c:v>
                </c:pt>
                <c:pt idx="77">
                  <c:v>2062</c:v>
                </c:pt>
                <c:pt idx="78">
                  <c:v>2063</c:v>
                </c:pt>
                <c:pt idx="79">
                  <c:v>2064</c:v>
                </c:pt>
                <c:pt idx="80">
                  <c:v>2065</c:v>
                </c:pt>
                <c:pt idx="81">
                  <c:v>2066</c:v>
                </c:pt>
                <c:pt idx="82">
                  <c:v>2067</c:v>
                </c:pt>
                <c:pt idx="83">
                  <c:v>2068</c:v>
                </c:pt>
                <c:pt idx="84">
                  <c:v>2069</c:v>
                </c:pt>
                <c:pt idx="85">
                  <c:v>2070</c:v>
                </c:pt>
                <c:pt idx="86">
                  <c:v>2071</c:v>
                </c:pt>
                <c:pt idx="87">
                  <c:v>2072</c:v>
                </c:pt>
                <c:pt idx="88">
                  <c:v>2073</c:v>
                </c:pt>
                <c:pt idx="89">
                  <c:v>2074</c:v>
                </c:pt>
                <c:pt idx="90">
                  <c:v>2075</c:v>
                </c:pt>
                <c:pt idx="91">
                  <c:v>2076</c:v>
                </c:pt>
                <c:pt idx="92">
                  <c:v>2077</c:v>
                </c:pt>
                <c:pt idx="93">
                  <c:v>2078</c:v>
                </c:pt>
                <c:pt idx="94">
                  <c:v>2079</c:v>
                </c:pt>
                <c:pt idx="95">
                  <c:v>2080</c:v>
                </c:pt>
                <c:pt idx="96">
                  <c:v>2081</c:v>
                </c:pt>
                <c:pt idx="97">
                  <c:v>2082</c:v>
                </c:pt>
                <c:pt idx="98">
                  <c:v>2083</c:v>
                </c:pt>
                <c:pt idx="99">
                  <c:v>2084</c:v>
                </c:pt>
                <c:pt idx="100">
                  <c:v>2085</c:v>
                </c:pt>
                <c:pt idx="101">
                  <c:v>2086</c:v>
                </c:pt>
                <c:pt idx="102">
                  <c:v>2087</c:v>
                </c:pt>
                <c:pt idx="103">
                  <c:v>2088</c:v>
                </c:pt>
                <c:pt idx="104">
                  <c:v>2089</c:v>
                </c:pt>
                <c:pt idx="105">
                  <c:v>2090</c:v>
                </c:pt>
                <c:pt idx="106">
                  <c:v>2091</c:v>
                </c:pt>
                <c:pt idx="107">
                  <c:v>2092</c:v>
                </c:pt>
                <c:pt idx="108">
                  <c:v>2093</c:v>
                </c:pt>
                <c:pt idx="109">
                  <c:v>2094</c:v>
                </c:pt>
                <c:pt idx="110">
                  <c:v>2095</c:v>
                </c:pt>
                <c:pt idx="111">
                  <c:v>2096</c:v>
                </c:pt>
                <c:pt idx="112">
                  <c:v>2097</c:v>
                </c:pt>
                <c:pt idx="113">
                  <c:v>2098</c:v>
                </c:pt>
                <c:pt idx="114">
                  <c:v>2099</c:v>
                </c:pt>
              </c:numCache>
            </c:numRef>
          </c:cat>
          <c:val>
            <c:numRef>
              <c:f>'Failure Mode Effects Model- WTC'!$D$23:$D$138</c:f>
              <c:numCache>
                <c:formatCode>0.000</c:formatCode>
                <c:ptCount val="1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2.3999808000768E-5</c:v>
                </c:pt>
                <c:pt idx="26">
                  <c:v>9.599385619660381E-5</c:v>
                </c:pt>
                <c:pt idx="27">
                  <c:v>2.1595334903848522E-4</c:v>
                </c:pt>
                <c:pt idx="28">
                  <c:v>3.8380344232305915E-4</c:v>
                </c:pt>
                <c:pt idx="29">
                  <c:v>5.994002999000251E-4</c:v>
                </c:pt>
                <c:pt idx="30">
                  <c:v>8.625082972024005E-4</c:v>
                </c:pt>
                <c:pt idx="31">
                  <c:v>1.1727774793203795E-3</c:v>
                </c:pt>
                <c:pt idx="32">
                  <c:v>1.5297214113277017E-3</c:v>
                </c:pt>
                <c:pt idx="33">
                  <c:v>1.9326955877069119E-3</c:v>
                </c:pt>
                <c:pt idx="34">
                  <c:v>2.3808765956089459E-3</c:v>
                </c:pt>
                <c:pt idx="35">
                  <c:v>2.8732422528544551E-3</c:v>
                </c:pt>
                <c:pt idx="36">
                  <c:v>3.4085529655058081E-3</c:v>
                </c:pt>
                <c:pt idx="37">
                  <c:v>3.9853345709202096E-3</c:v>
                </c:pt>
                <c:pt idx="38">
                  <c:v>4.601862949801222E-3</c:v>
                </c:pt>
                <c:pt idx="39">
                  <c:v>5.2561507042314182E-3</c:v>
                </c:pt>
                <c:pt idx="40">
                  <c:v>5.9459362073104472E-3</c:v>
                </c:pt>
                <c:pt idx="41">
                  <c:v>6.6686753331605423E-3</c:v>
                </c:pt>
                <c:pt idx="42">
                  <c:v>7.4215361730391458E-3</c:v>
                </c:pt>
                <c:pt idx="43">
                  <c:v>8.2013970335062941E-3</c:v>
                </c:pt>
                <c:pt idx="44">
                  <c:v>9.004847995495004E-3</c:v>
                </c:pt>
                <c:pt idx="45">
                  <c:v>9.8281962882869195E-3</c:v>
                </c:pt>
                <c:pt idx="46">
                  <c:v>1.0667475699488518E-2</c:v>
                </c:pt>
                <c:pt idx="47">
                  <c:v>1.1518460200973633E-2</c:v>
                </c:pt>
                <c:pt idx="48">
                  <c:v>1.2376681921422959E-2</c:v>
                </c:pt>
                <c:pt idx="49">
                  <c:v>1.3237453538768932E-2</c:v>
                </c:pt>
                <c:pt idx="50">
                  <c:v>1.4095895100988241E-2</c:v>
                </c:pt>
                <c:pt idx="51">
                  <c:v>1.4946965211956072E-2</c:v>
                </c:pt>
                <c:pt idx="52">
                  <c:v>1.5785496441419765E-2</c:v>
                </c:pt>
                <c:pt idx="53">
                  <c:v>1.6606234735754077E-2</c:v>
                </c:pt>
                <c:pt idx="54">
                  <c:v>1.7403882520467158E-2</c:v>
                </c:pt>
                <c:pt idx="55">
                  <c:v>1.8173145098117828E-2</c:v>
                </c:pt>
                <c:pt idx="56">
                  <c:v>1.8908779858282151E-2</c:v>
                </c:pt>
                <c:pt idx="57">
                  <c:v>1.9605647731560465E-2</c:v>
                </c:pt>
                <c:pt idx="58">
                  <c:v>2.0258766239581345E-2</c:v>
                </c:pt>
                <c:pt idx="59">
                  <c:v>2.0863363419870131E-2</c:v>
                </c:pt>
                <c:pt idx="60">
                  <c:v>2.1414931840675486E-2</c:v>
                </c:pt>
                <c:pt idx="61">
                  <c:v>2.1909281868726333E-2</c:v>
                </c:pt>
                <c:pt idx="62">
                  <c:v>2.2342593314655327E-2</c:v>
                </c:pt>
                <c:pt idx="63">
                  <c:v>2.2711464558520734E-2</c:v>
                </c:pt>
                <c:pt idx="64">
                  <c:v>2.3012958253268677E-2</c:v>
                </c:pt>
                <c:pt idx="65">
                  <c:v>2.3244642718538738E-2</c:v>
                </c:pt>
                <c:pt idx="66">
                  <c:v>2.3404628171943453E-2</c:v>
                </c:pt>
                <c:pt idx="67">
                  <c:v>2.3491597000373496E-2</c:v>
                </c:pt>
                <c:pt idx="68">
                  <c:v>2.3504827349974285E-2</c:v>
                </c:pt>
                <c:pt idx="69">
                  <c:v>2.3444209409595122E-2</c:v>
                </c:pt>
                <c:pt idx="70">
                  <c:v>2.3310253877500044E-2</c:v>
                </c:pt>
                <c:pt idx="71">
                  <c:v>2.3104092233096684E-2</c:v>
                </c:pt>
                <c:pt idx="72">
                  <c:v>2.282746858192233E-2</c:v>
                </c:pt>
                <c:pt idx="73">
                  <c:v>2.2482723000089168E-2</c:v>
                </c:pt>
                <c:pt idx="74">
                  <c:v>2.2072766470286539E-2</c:v>
                </c:pt>
                <c:pt idx="75">
                  <c:v>2.16010476712927E-2</c:v>
                </c:pt>
                <c:pt idx="76">
                  <c:v>2.1071512052466091E-2</c:v>
                </c:pt>
                <c:pt idx="77">
                  <c:v>2.0488553789372411E-2</c:v>
                </c:pt>
                <c:pt idx="78">
                  <c:v>1.9856961372006217E-2</c:v>
                </c:pt>
                <c:pt idx="79">
                  <c:v>1.9181857718522061E-2</c:v>
                </c:pt>
                <c:pt idx="80">
                  <c:v>1.8468635830783304E-2</c:v>
                </c:pt>
                <c:pt idx="81">
                  <c:v>1.7722891109547379E-2</c:v>
                </c:pt>
                <c:pt idx="82">
                  <c:v>1.6950351523460631E-2</c:v>
                </c:pt>
                <c:pt idx="83">
                  <c:v>1.6156806874635655E-2</c:v>
                </c:pt>
                <c:pt idx="84">
                  <c:v>1.5348038422619658E-2</c:v>
                </c:pt>
                <c:pt idx="85">
                  <c:v>1.4529750117101115E-2</c:v>
                </c:pt>
                <c:pt idx="86">
                  <c:v>1.3707502647739929E-2</c:v>
                </c:pt>
                <c:pt idx="87">
                  <c:v>1.2886651447996531E-2</c:v>
                </c:pt>
                <c:pt idx="88">
                  <c:v>1.2072289690667646E-2</c:v>
                </c:pt>
                <c:pt idx="89">
                  <c:v>1.1269197188793056E-2</c:v>
                </c:pt>
                <c:pt idx="90">
                  <c:v>1.0481795970261217E-2</c:v>
                </c:pt>
                <c:pt idx="91">
                  <c:v>9.7141131320805339E-3</c:v>
                </c:pt>
                <c:pt idx="92">
                  <c:v>8.9697514057012605E-3</c:v>
                </c:pt>
                <c:pt idx="93">
                  <c:v>8.2518676831399417E-3</c:v>
                </c:pt>
                <c:pt idx="94">
                  <c:v>7.563159570324318E-3</c:v>
                </c:pt>
                <c:pt idx="95">
                  <c:v>6.9058598543773218E-3</c:v>
                </c:pt>
                <c:pt idx="96">
                  <c:v>6.2817386006228364E-3</c:v>
                </c:pt>
                <c:pt idx="97">
                  <c:v>5.6921124376624463E-3</c:v>
                </c:pt>
                <c:pt idx="98">
                  <c:v>5.1378604491213861E-3</c:v>
                </c:pt>
                <c:pt idx="99">
                  <c:v>4.6194459720749143E-3</c:v>
                </c:pt>
                <c:pt idx="100">
                  <c:v>4.1369435074134131E-3</c:v>
                </c:pt>
                <c:pt idx="101">
                  <c:v>3.6900698782681724E-3</c:v>
                </c:pt>
                <c:pt idx="102">
                  <c:v>3.2782187299569879E-3</c:v>
                </c:pt>
                <c:pt idx="103">
                  <c:v>2.9004974486513298E-3</c:v>
                </c:pt>
                <c:pt idx="104">
                  <c:v>2.5557655851607469E-3</c:v>
                </c:pt>
                <c:pt idx="105">
                  <c:v>2.2426739031091475E-3</c:v>
                </c:pt>
                <c:pt idx="106">
                  <c:v>1.9597032248682067E-3</c:v>
                </c:pt>
                <c:pt idx="107">
                  <c:v>1.7052023208641871E-3</c:v>
                </c:pt>
                <c:pt idx="108">
                  <c:v>1.4774241748052464E-3</c:v>
                </c:pt>
                <c:pt idx="109">
                  <c:v>1.2745600552334405E-3</c:v>
                </c:pt>
                <c:pt idx="110">
                  <c:v>1.0947709287256865E-3</c:v>
                </c:pt>
                <c:pt idx="111">
                  <c:v>9.3621585823057667E-4</c:v>
                </c:pt>
                <c:pt idx="112">
                  <c:v>7.9707713780243048E-4</c:v>
                </c:pt>
                <c:pt idx="113">
                  <c:v>6.7558201906325194E-4</c:v>
                </c:pt>
                <c:pt idx="114">
                  <c:v>5.7002098218870794E-4</c:v>
                </c:pt>
                <c:pt idx="115">
                  <c:v>4.7876259267266142E-4</c:v>
                </c:pt>
              </c:numCache>
            </c:numRef>
          </c:val>
        </c:ser>
        <c:dLbls>
          <c:showLegendKey val="0"/>
          <c:showVal val="0"/>
          <c:showCatName val="0"/>
          <c:showSerName val="0"/>
          <c:showPercent val="0"/>
          <c:showBubbleSize val="0"/>
        </c:dLbls>
        <c:axId val="250353768"/>
        <c:axId val="250353376"/>
      </c:areaChart>
      <c:lineChart>
        <c:grouping val="standard"/>
        <c:varyColors val="0"/>
        <c:ser>
          <c:idx val="3"/>
          <c:order val="1"/>
          <c:tx>
            <c:strRef>
              <c:f>'Failure Mode Effects Model- WTC'!$H$22</c:f>
              <c:strCache>
                <c:ptCount val="1"/>
                <c:pt idx="0">
                  <c:v>Est. Reliablility</c:v>
                </c:pt>
              </c:strCache>
            </c:strRef>
          </c:tx>
          <c:cat>
            <c:numRef>
              <c:f>'Failure Mode Effects Model- WTC'!$A$23:$A$137</c:f>
              <c:numCache>
                <c:formatCode>General</c:formatCode>
                <c:ptCount val="115"/>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pt idx="41">
                  <c:v>2026</c:v>
                </c:pt>
                <c:pt idx="42">
                  <c:v>2027</c:v>
                </c:pt>
                <c:pt idx="43">
                  <c:v>2028</c:v>
                </c:pt>
                <c:pt idx="44">
                  <c:v>2029</c:v>
                </c:pt>
                <c:pt idx="45">
                  <c:v>2030</c:v>
                </c:pt>
                <c:pt idx="46">
                  <c:v>2031</c:v>
                </c:pt>
                <c:pt idx="47">
                  <c:v>2032</c:v>
                </c:pt>
                <c:pt idx="48">
                  <c:v>2033</c:v>
                </c:pt>
                <c:pt idx="49">
                  <c:v>2034</c:v>
                </c:pt>
                <c:pt idx="50">
                  <c:v>2035</c:v>
                </c:pt>
                <c:pt idx="51">
                  <c:v>2036</c:v>
                </c:pt>
                <c:pt idx="52">
                  <c:v>2037</c:v>
                </c:pt>
                <c:pt idx="53">
                  <c:v>2038</c:v>
                </c:pt>
                <c:pt idx="54">
                  <c:v>2039</c:v>
                </c:pt>
                <c:pt idx="55">
                  <c:v>2040</c:v>
                </c:pt>
                <c:pt idx="56">
                  <c:v>2041</c:v>
                </c:pt>
                <c:pt idx="57">
                  <c:v>2042</c:v>
                </c:pt>
                <c:pt idx="58">
                  <c:v>2043</c:v>
                </c:pt>
                <c:pt idx="59">
                  <c:v>2044</c:v>
                </c:pt>
                <c:pt idx="60">
                  <c:v>2045</c:v>
                </c:pt>
                <c:pt idx="61">
                  <c:v>2046</c:v>
                </c:pt>
                <c:pt idx="62">
                  <c:v>2047</c:v>
                </c:pt>
                <c:pt idx="63">
                  <c:v>2048</c:v>
                </c:pt>
                <c:pt idx="64">
                  <c:v>2049</c:v>
                </c:pt>
                <c:pt idx="65">
                  <c:v>2050</c:v>
                </c:pt>
                <c:pt idx="66">
                  <c:v>2051</c:v>
                </c:pt>
                <c:pt idx="67">
                  <c:v>2052</c:v>
                </c:pt>
                <c:pt idx="68">
                  <c:v>2053</c:v>
                </c:pt>
                <c:pt idx="69">
                  <c:v>2054</c:v>
                </c:pt>
                <c:pt idx="70">
                  <c:v>2055</c:v>
                </c:pt>
                <c:pt idx="71">
                  <c:v>2056</c:v>
                </c:pt>
                <c:pt idx="72">
                  <c:v>2057</c:v>
                </c:pt>
                <c:pt idx="73">
                  <c:v>2058</c:v>
                </c:pt>
                <c:pt idx="74">
                  <c:v>2059</c:v>
                </c:pt>
                <c:pt idx="75">
                  <c:v>2060</c:v>
                </c:pt>
                <c:pt idx="76">
                  <c:v>2061</c:v>
                </c:pt>
                <c:pt idx="77">
                  <c:v>2062</c:v>
                </c:pt>
                <c:pt idx="78">
                  <c:v>2063</c:v>
                </c:pt>
                <c:pt idx="79">
                  <c:v>2064</c:v>
                </c:pt>
                <c:pt idx="80">
                  <c:v>2065</c:v>
                </c:pt>
                <c:pt idx="81">
                  <c:v>2066</c:v>
                </c:pt>
                <c:pt idx="82">
                  <c:v>2067</c:v>
                </c:pt>
                <c:pt idx="83">
                  <c:v>2068</c:v>
                </c:pt>
                <c:pt idx="84">
                  <c:v>2069</c:v>
                </c:pt>
                <c:pt idx="85">
                  <c:v>2070</c:v>
                </c:pt>
                <c:pt idx="86">
                  <c:v>2071</c:v>
                </c:pt>
                <c:pt idx="87">
                  <c:v>2072</c:v>
                </c:pt>
                <c:pt idx="88">
                  <c:v>2073</c:v>
                </c:pt>
                <c:pt idx="89">
                  <c:v>2074</c:v>
                </c:pt>
                <c:pt idx="90">
                  <c:v>2075</c:v>
                </c:pt>
                <c:pt idx="91">
                  <c:v>2076</c:v>
                </c:pt>
                <c:pt idx="92">
                  <c:v>2077</c:v>
                </c:pt>
                <c:pt idx="93">
                  <c:v>2078</c:v>
                </c:pt>
                <c:pt idx="94">
                  <c:v>2079</c:v>
                </c:pt>
                <c:pt idx="95">
                  <c:v>2080</c:v>
                </c:pt>
                <c:pt idx="96">
                  <c:v>2081</c:v>
                </c:pt>
                <c:pt idx="97">
                  <c:v>2082</c:v>
                </c:pt>
                <c:pt idx="98">
                  <c:v>2083</c:v>
                </c:pt>
                <c:pt idx="99">
                  <c:v>2084</c:v>
                </c:pt>
                <c:pt idx="100">
                  <c:v>2085</c:v>
                </c:pt>
                <c:pt idx="101">
                  <c:v>2086</c:v>
                </c:pt>
                <c:pt idx="102">
                  <c:v>2087</c:v>
                </c:pt>
                <c:pt idx="103">
                  <c:v>2088</c:v>
                </c:pt>
                <c:pt idx="104">
                  <c:v>2089</c:v>
                </c:pt>
                <c:pt idx="105">
                  <c:v>2090</c:v>
                </c:pt>
                <c:pt idx="106">
                  <c:v>2091</c:v>
                </c:pt>
                <c:pt idx="107">
                  <c:v>2092</c:v>
                </c:pt>
                <c:pt idx="108">
                  <c:v>2093</c:v>
                </c:pt>
                <c:pt idx="109">
                  <c:v>2094</c:v>
                </c:pt>
                <c:pt idx="110">
                  <c:v>2095</c:v>
                </c:pt>
                <c:pt idx="111">
                  <c:v>2096</c:v>
                </c:pt>
                <c:pt idx="112">
                  <c:v>2097</c:v>
                </c:pt>
                <c:pt idx="113">
                  <c:v>2098</c:v>
                </c:pt>
                <c:pt idx="114">
                  <c:v>2099</c:v>
                </c:pt>
              </c:numCache>
            </c:numRef>
          </c:cat>
          <c:val>
            <c:numRef>
              <c:f>'Failure Mode Effects Model- WTC'!$H$23:$H$138</c:f>
              <c:numCache>
                <c:formatCode>0.000000000</c:formatCode>
                <c:ptCount val="116"/>
                <c:pt idx="0">
                  <c:v>0.998</c:v>
                </c:pt>
                <c:pt idx="1">
                  <c:v>0.998</c:v>
                </c:pt>
                <c:pt idx="2">
                  <c:v>0.998</c:v>
                </c:pt>
                <c:pt idx="3">
                  <c:v>0.998</c:v>
                </c:pt>
                <c:pt idx="4">
                  <c:v>0.998</c:v>
                </c:pt>
                <c:pt idx="5">
                  <c:v>0.998</c:v>
                </c:pt>
                <c:pt idx="6">
                  <c:v>0.998</c:v>
                </c:pt>
                <c:pt idx="7">
                  <c:v>0.998</c:v>
                </c:pt>
                <c:pt idx="8">
                  <c:v>0.998</c:v>
                </c:pt>
                <c:pt idx="9">
                  <c:v>0.998</c:v>
                </c:pt>
                <c:pt idx="10">
                  <c:v>0.998</c:v>
                </c:pt>
                <c:pt idx="11">
                  <c:v>0.998</c:v>
                </c:pt>
                <c:pt idx="12">
                  <c:v>0.998</c:v>
                </c:pt>
                <c:pt idx="13">
                  <c:v>0.998</c:v>
                </c:pt>
                <c:pt idx="14">
                  <c:v>0.998</c:v>
                </c:pt>
                <c:pt idx="15">
                  <c:v>0.998</c:v>
                </c:pt>
                <c:pt idx="16">
                  <c:v>0.998</c:v>
                </c:pt>
                <c:pt idx="17">
                  <c:v>0.998</c:v>
                </c:pt>
                <c:pt idx="18">
                  <c:v>0.998</c:v>
                </c:pt>
                <c:pt idx="19">
                  <c:v>0.998</c:v>
                </c:pt>
                <c:pt idx="20">
                  <c:v>0.998</c:v>
                </c:pt>
                <c:pt idx="21">
                  <c:v>0.998</c:v>
                </c:pt>
                <c:pt idx="22">
                  <c:v>0.998</c:v>
                </c:pt>
                <c:pt idx="23">
                  <c:v>0.998</c:v>
                </c:pt>
                <c:pt idx="24">
                  <c:v>0.998</c:v>
                </c:pt>
                <c:pt idx="25">
                  <c:v>0.99797604819161523</c:v>
                </c:pt>
                <c:pt idx="26">
                  <c:v>0.99788024632313099</c:v>
                </c:pt>
                <c:pt idx="27">
                  <c:v>0.99766472488079061</c:v>
                </c:pt>
                <c:pt idx="28">
                  <c:v>0.99728168904535219</c:v>
                </c:pt>
                <c:pt idx="29">
                  <c:v>0.99668348754605196</c:v>
                </c:pt>
                <c:pt idx="30">
                  <c:v>0.99582270426544395</c:v>
                </c:pt>
                <c:pt idx="31">
                  <c:v>0.99465227234108222</c:v>
                </c:pt>
                <c:pt idx="32">
                  <c:v>0.99312561037257718</c:v>
                </c:pt>
                <c:pt idx="33">
                  <c:v>0.99119678017604573</c:v>
                </c:pt>
                <c:pt idx="34">
                  <c:v>0.988820665333628</c:v>
                </c:pt>
                <c:pt idx="35">
                  <c:v>0.98595316956527923</c:v>
                </c:pt>
                <c:pt idx="36">
                  <c:v>0.98255143370570441</c:v>
                </c:pt>
                <c:pt idx="37">
                  <c:v>0.97857406980392603</c:v>
                </c:pt>
                <c:pt idx="38">
                  <c:v>0.97398141058002441</c:v>
                </c:pt>
                <c:pt idx="39">
                  <c:v>0.96873577217720142</c:v>
                </c:pt>
                <c:pt idx="40">
                  <c:v>0.96280172784230555</c:v>
                </c:pt>
                <c:pt idx="41">
                  <c:v>0.95614638985981137</c:v>
                </c:pt>
                <c:pt idx="42">
                  <c:v>0.94873969675911829</c:v>
                </c:pt>
                <c:pt idx="43">
                  <c:v>0.94055470251967899</c:v>
                </c:pt>
                <c:pt idx="44">
                  <c:v>0.93156786422017501</c:v>
                </c:pt>
                <c:pt idx="45">
                  <c:v>0.92175932432446461</c:v>
                </c:pt>
                <c:pt idx="46">
                  <c:v>0.91111318357637505</c:v>
                </c:pt>
                <c:pt idx="47">
                  <c:v>0.89961776029580331</c:v>
                </c:pt>
                <c:pt idx="48">
                  <c:v>0.88726583173822315</c:v>
                </c:pt>
                <c:pt idx="49">
                  <c:v>0.87405485310653175</c:v>
                </c:pt>
                <c:pt idx="50">
                  <c:v>0.85998714979574553</c:v>
                </c:pt>
                <c:pt idx="51">
                  <c:v>0.84507007851421334</c:v>
                </c:pt>
                <c:pt idx="52">
                  <c:v>0.82931615306567641</c:v>
                </c:pt>
                <c:pt idx="53">
                  <c:v>0.81274313079939386</c:v>
                </c:pt>
                <c:pt idx="54">
                  <c:v>0.7953740560439676</c:v>
                </c:pt>
                <c:pt idx="55">
                  <c:v>0.77723725723604598</c:v>
                </c:pt>
                <c:pt idx="56">
                  <c:v>0.75836629493748042</c:v>
                </c:pt>
                <c:pt idx="57">
                  <c:v>0.73879985850138308</c:v>
                </c:pt>
                <c:pt idx="58">
                  <c:v>0.71858160979428087</c:v>
                </c:pt>
                <c:pt idx="59">
                  <c:v>0.69775997310125049</c:v>
                </c:pt>
                <c:pt idx="60">
                  <c:v>0.67638787112425636</c:v>
                </c:pt>
                <c:pt idx="61">
                  <c:v>0.65452240781926752</c:v>
                </c:pt>
                <c:pt idx="62">
                  <c:v>0.6322244996912415</c:v>
                </c:pt>
                <c:pt idx="63">
                  <c:v>0.60955845806183784</c:v>
                </c:pt>
                <c:pt idx="64">
                  <c:v>0.58659152572507567</c:v>
                </c:pt>
                <c:pt idx="65">
                  <c:v>0.56339337229197406</c:v>
                </c:pt>
                <c:pt idx="66">
                  <c:v>0.54003555337637454</c:v>
                </c:pt>
                <c:pt idx="67">
                  <c:v>0.51659093957000179</c:v>
                </c:pt>
                <c:pt idx="68">
                  <c:v>0.49313312187472746</c:v>
                </c:pt>
                <c:pt idx="69">
                  <c:v>0.4697358008839515</c:v>
                </c:pt>
                <c:pt idx="70">
                  <c:v>0.44647216751420649</c:v>
                </c:pt>
                <c:pt idx="71">
                  <c:v>0.42341428346557597</c:v>
                </c:pt>
                <c:pt idx="72">
                  <c:v>0.40063246982081746</c:v>
                </c:pt>
                <c:pt idx="73">
                  <c:v>0.37819471226672846</c:v>
                </c:pt>
                <c:pt idx="74">
                  <c:v>0.35616609132938248</c:v>
                </c:pt>
                <c:pt idx="75">
                  <c:v>0.3346082457534324</c:v>
                </c:pt>
                <c:pt idx="76">
                  <c:v>0.31357887672507123</c:v>
                </c:pt>
                <c:pt idx="77">
                  <c:v>0.29313130004327759</c:v>
                </c:pt>
                <c:pt idx="78">
                  <c:v>0.27331405259401537</c:v>
                </c:pt>
                <c:pt idx="79">
                  <c:v>0.25417055859093035</c:v>
                </c:pt>
                <c:pt idx="80">
                  <c:v>0.23573886003180861</c:v>
                </c:pt>
                <c:pt idx="81">
                  <c:v>0.21805141470448031</c:v>
                </c:pt>
                <c:pt idx="82">
                  <c:v>0.2011349638840666</c:v>
                </c:pt>
                <c:pt idx="83">
                  <c:v>0.18501047062318021</c:v>
                </c:pt>
                <c:pt idx="84">
                  <c:v>0.16969312827740579</c:v>
                </c:pt>
                <c:pt idx="85">
                  <c:v>0.15519243766053889</c:v>
                </c:pt>
                <c:pt idx="86">
                  <c:v>0.14151235001809445</c:v>
                </c:pt>
                <c:pt idx="87">
                  <c:v>0.12865147187299392</c:v>
                </c:pt>
                <c:pt idx="88">
                  <c:v>0.11660332676170761</c:v>
                </c:pt>
                <c:pt idx="89">
                  <c:v>0.10535666796729214</c:v>
                </c:pt>
                <c:pt idx="90">
                  <c:v>9.4895835588971439E-2</c:v>
                </c:pt>
                <c:pt idx="91">
                  <c:v>8.5201150683155064E-2</c:v>
                </c:pt>
                <c:pt idx="92">
                  <c:v>7.62493387802652E-2</c:v>
                </c:pt>
                <c:pt idx="93">
                  <c:v>6.8013974832491539E-2</c:v>
                </c:pt>
                <c:pt idx="94">
                  <c:v>6.0465941581307872E-2</c:v>
                </c:pt>
                <c:pt idx="95">
                  <c:v>5.3573893446639306E-2</c:v>
                </c:pt>
                <c:pt idx="96">
                  <c:v>4.7304718323217712E-2</c:v>
                </c:pt>
                <c:pt idx="97">
                  <c:v>4.1623990110430588E-2</c:v>
                </c:pt>
                <c:pt idx="98">
                  <c:v>3.6496405382207442E-2</c:v>
                </c:pt>
                <c:pt idx="99">
                  <c:v>3.1886198302076674E-2</c:v>
                </c:pt>
                <c:pt idx="100">
                  <c:v>2.7757528681678086E-2</c:v>
                </c:pt>
                <c:pt idx="101">
                  <c:v>2.4074838943166449E-2</c:v>
                </c:pt>
                <c:pt idx="102">
                  <c:v>2.0803176650669376E-2</c:v>
                </c:pt>
                <c:pt idx="103">
                  <c:v>1.790848019691535E-2</c:v>
                </c:pt>
                <c:pt idx="104">
                  <c:v>1.5357826142924923E-2</c:v>
                </c:pt>
                <c:pt idx="105">
                  <c:v>1.3119637587621994E-2</c:v>
                </c:pt>
                <c:pt idx="106">
                  <c:v>1.1163853769203525E-2</c:v>
                </c:pt>
                <c:pt idx="107">
                  <c:v>9.4620618529810668E-3</c:v>
                </c:pt>
                <c:pt idx="108">
                  <c:v>7.9875925265254308E-3</c:v>
                </c:pt>
                <c:pt idx="109">
                  <c:v>6.7155815914024574E-3</c:v>
                </c:pt>
                <c:pt idx="110">
                  <c:v>5.6230002045342224E-3</c:v>
                </c:pt>
                <c:pt idx="111">
                  <c:v>4.6886567780201069E-3</c:v>
                </c:pt>
                <c:pt idx="112">
                  <c:v>3.8931737944932813E-3</c:v>
                </c:pt>
                <c:pt idx="113">
                  <c:v>3.2189429394681559E-3</c:v>
                </c:pt>
                <c:pt idx="114">
                  <c:v>2.6500619992438253E-3</c:v>
                </c:pt>
                <c:pt idx="115">
                  <c:v>2.1722569317565092E-3</c:v>
                </c:pt>
              </c:numCache>
            </c:numRef>
          </c:val>
          <c:smooth val="0"/>
        </c:ser>
        <c:dLbls>
          <c:showLegendKey val="0"/>
          <c:showVal val="0"/>
          <c:showCatName val="0"/>
          <c:showSerName val="0"/>
          <c:showPercent val="0"/>
          <c:showBubbleSize val="0"/>
        </c:dLbls>
        <c:marker val="1"/>
        <c:smooth val="0"/>
        <c:axId val="249034384"/>
        <c:axId val="249034776"/>
        <c:extLst/>
      </c:lineChart>
      <c:dateAx>
        <c:axId val="249034384"/>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249034776"/>
        <c:crosses val="autoZero"/>
        <c:auto val="0"/>
        <c:lblOffset val="100"/>
        <c:baseTimeUnit val="days"/>
      </c:dateAx>
      <c:valAx>
        <c:axId val="249034776"/>
        <c:scaling>
          <c:orientation val="minMax"/>
          <c:max val="1"/>
          <c:min val="0"/>
        </c:scaling>
        <c:delete val="0"/>
        <c:axPos val="l"/>
        <c:majorGridlines/>
        <c:numFmt formatCode="0%" sourceLinked="0"/>
        <c:majorTickMark val="out"/>
        <c:minorTickMark val="none"/>
        <c:tickLblPos val="nextTo"/>
        <c:crossAx val="249034384"/>
        <c:crosses val="autoZero"/>
        <c:crossBetween val="between"/>
        <c:minorUnit val="0.1"/>
      </c:valAx>
      <c:valAx>
        <c:axId val="250353376"/>
        <c:scaling>
          <c:orientation val="minMax"/>
          <c:max val="4.0000000000000008E-2"/>
        </c:scaling>
        <c:delete val="0"/>
        <c:axPos val="r"/>
        <c:numFmt formatCode="0.000" sourceLinked="1"/>
        <c:majorTickMark val="out"/>
        <c:minorTickMark val="none"/>
        <c:tickLblPos val="nextTo"/>
        <c:crossAx val="250353768"/>
        <c:crosses val="max"/>
        <c:crossBetween val="between"/>
      </c:valAx>
      <c:dateAx>
        <c:axId val="250353768"/>
        <c:scaling>
          <c:orientation val="minMax"/>
        </c:scaling>
        <c:delete val="1"/>
        <c:axPos val="b"/>
        <c:numFmt formatCode="General" sourceLinked="1"/>
        <c:majorTickMark val="out"/>
        <c:minorTickMark val="none"/>
        <c:tickLblPos val="nextTo"/>
        <c:crossAx val="250353376"/>
        <c:crosses val="autoZero"/>
        <c:auto val="0"/>
        <c:lblOffset val="100"/>
        <c:baseTimeUnit val="days"/>
      </c:dateAx>
    </c:plotArea>
    <c:legend>
      <c:legendPos val="r"/>
      <c:layout>
        <c:manualLayout>
          <c:xMode val="edge"/>
          <c:yMode val="edge"/>
          <c:x val="0.23137099769452613"/>
          <c:y val="0.83661306104604138"/>
          <c:w val="0.53964114680713449"/>
          <c:h val="7.3985443759474578E-2"/>
        </c:manualLayout>
      </c:layout>
      <c:overlay val="0"/>
    </c:legend>
    <c:plotVisOnly val="1"/>
    <c:dispBlanksAs val="gap"/>
    <c:showDLblsOverMax val="0"/>
  </c:chart>
  <c:spPr>
    <a:ln>
      <a:solidFill>
        <a:schemeClr val="accent2">
          <a:lumMod val="20000"/>
          <a:lumOff val="80000"/>
        </a:schemeClr>
      </a:solidFill>
    </a:ln>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840583348757986E-2"/>
          <c:y val="9.9846365097405965E-2"/>
          <c:w val="0.87448527969036405"/>
          <c:h val="0.71587738713833371"/>
        </c:manualLayout>
      </c:layout>
      <c:lineChart>
        <c:grouping val="standard"/>
        <c:varyColors val="0"/>
        <c:ser>
          <c:idx val="0"/>
          <c:order val="0"/>
          <c:tx>
            <c:v>Ops Reliability Impact</c:v>
          </c:tx>
          <c:spPr>
            <a:ln w="28575" cap="rnd">
              <a:solidFill>
                <a:schemeClr val="tx1"/>
              </a:solidFill>
              <a:round/>
              <a:tailEnd type="none"/>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f>'Failure Mode Effects Model- WTC'!$A$23:$A$138</c:f>
              <c:numCache>
                <c:formatCode>General</c:formatCode>
                <c:ptCount val="116"/>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pt idx="41">
                  <c:v>2026</c:v>
                </c:pt>
                <c:pt idx="42">
                  <c:v>2027</c:v>
                </c:pt>
                <c:pt idx="43">
                  <c:v>2028</c:v>
                </c:pt>
                <c:pt idx="44">
                  <c:v>2029</c:v>
                </c:pt>
                <c:pt idx="45">
                  <c:v>2030</c:v>
                </c:pt>
                <c:pt idx="46">
                  <c:v>2031</c:v>
                </c:pt>
                <c:pt idx="47">
                  <c:v>2032</c:v>
                </c:pt>
                <c:pt idx="48">
                  <c:v>2033</c:v>
                </c:pt>
                <c:pt idx="49">
                  <c:v>2034</c:v>
                </c:pt>
                <c:pt idx="50">
                  <c:v>2035</c:v>
                </c:pt>
                <c:pt idx="51">
                  <c:v>2036</c:v>
                </c:pt>
                <c:pt idx="52">
                  <c:v>2037</c:v>
                </c:pt>
                <c:pt idx="53">
                  <c:v>2038</c:v>
                </c:pt>
                <c:pt idx="54">
                  <c:v>2039</c:v>
                </c:pt>
                <c:pt idx="55">
                  <c:v>2040</c:v>
                </c:pt>
                <c:pt idx="56">
                  <c:v>2041</c:v>
                </c:pt>
                <c:pt idx="57">
                  <c:v>2042</c:v>
                </c:pt>
                <c:pt idx="58">
                  <c:v>2043</c:v>
                </c:pt>
                <c:pt idx="59">
                  <c:v>2044</c:v>
                </c:pt>
                <c:pt idx="60">
                  <c:v>2045</c:v>
                </c:pt>
                <c:pt idx="61">
                  <c:v>2046</c:v>
                </c:pt>
                <c:pt idx="62">
                  <c:v>2047</c:v>
                </c:pt>
                <c:pt idx="63">
                  <c:v>2048</c:v>
                </c:pt>
                <c:pt idx="64">
                  <c:v>2049</c:v>
                </c:pt>
                <c:pt idx="65">
                  <c:v>2050</c:v>
                </c:pt>
                <c:pt idx="66">
                  <c:v>2051</c:v>
                </c:pt>
                <c:pt idx="67">
                  <c:v>2052</c:v>
                </c:pt>
                <c:pt idx="68">
                  <c:v>2053</c:v>
                </c:pt>
                <c:pt idx="69">
                  <c:v>2054</c:v>
                </c:pt>
                <c:pt idx="70">
                  <c:v>2055</c:v>
                </c:pt>
                <c:pt idx="71">
                  <c:v>2056</c:v>
                </c:pt>
                <c:pt idx="72">
                  <c:v>2057</c:v>
                </c:pt>
                <c:pt idx="73">
                  <c:v>2058</c:v>
                </c:pt>
                <c:pt idx="74">
                  <c:v>2059</c:v>
                </c:pt>
                <c:pt idx="75">
                  <c:v>2060</c:v>
                </c:pt>
                <c:pt idx="76">
                  <c:v>2061</c:v>
                </c:pt>
                <c:pt idx="77">
                  <c:v>2062</c:v>
                </c:pt>
                <c:pt idx="78">
                  <c:v>2063</c:v>
                </c:pt>
                <c:pt idx="79">
                  <c:v>2064</c:v>
                </c:pt>
                <c:pt idx="80">
                  <c:v>2065</c:v>
                </c:pt>
                <c:pt idx="81">
                  <c:v>2066</c:v>
                </c:pt>
                <c:pt idx="82">
                  <c:v>2067</c:v>
                </c:pt>
                <c:pt idx="83">
                  <c:v>2068</c:v>
                </c:pt>
                <c:pt idx="84">
                  <c:v>2069</c:v>
                </c:pt>
                <c:pt idx="85">
                  <c:v>2070</c:v>
                </c:pt>
                <c:pt idx="86">
                  <c:v>2071</c:v>
                </c:pt>
                <c:pt idx="87">
                  <c:v>2072</c:v>
                </c:pt>
                <c:pt idx="88">
                  <c:v>2073</c:v>
                </c:pt>
                <c:pt idx="89">
                  <c:v>2074</c:v>
                </c:pt>
                <c:pt idx="90">
                  <c:v>2075</c:v>
                </c:pt>
                <c:pt idx="91">
                  <c:v>2076</c:v>
                </c:pt>
                <c:pt idx="92">
                  <c:v>2077</c:v>
                </c:pt>
                <c:pt idx="93">
                  <c:v>2078</c:v>
                </c:pt>
                <c:pt idx="94">
                  <c:v>2079</c:v>
                </c:pt>
                <c:pt idx="95">
                  <c:v>2080</c:v>
                </c:pt>
                <c:pt idx="96">
                  <c:v>2081</c:v>
                </c:pt>
                <c:pt idx="97">
                  <c:v>2082</c:v>
                </c:pt>
                <c:pt idx="98">
                  <c:v>2083</c:v>
                </c:pt>
                <c:pt idx="99">
                  <c:v>2084</c:v>
                </c:pt>
                <c:pt idx="100">
                  <c:v>2085</c:v>
                </c:pt>
                <c:pt idx="101">
                  <c:v>2086</c:v>
                </c:pt>
                <c:pt idx="102">
                  <c:v>2087</c:v>
                </c:pt>
                <c:pt idx="103">
                  <c:v>2088</c:v>
                </c:pt>
                <c:pt idx="104">
                  <c:v>2089</c:v>
                </c:pt>
                <c:pt idx="105">
                  <c:v>2090</c:v>
                </c:pt>
                <c:pt idx="106">
                  <c:v>2091</c:v>
                </c:pt>
                <c:pt idx="107">
                  <c:v>2092</c:v>
                </c:pt>
                <c:pt idx="108">
                  <c:v>2093</c:v>
                </c:pt>
                <c:pt idx="109">
                  <c:v>2094</c:v>
                </c:pt>
                <c:pt idx="110">
                  <c:v>2095</c:v>
                </c:pt>
                <c:pt idx="111">
                  <c:v>2096</c:v>
                </c:pt>
                <c:pt idx="112">
                  <c:v>2097</c:v>
                </c:pt>
                <c:pt idx="113">
                  <c:v>2098</c:v>
                </c:pt>
                <c:pt idx="114">
                  <c:v>2099</c:v>
                </c:pt>
                <c:pt idx="115">
                  <c:v>2100</c:v>
                </c:pt>
              </c:numCache>
            </c:numRef>
          </c:cat>
          <c:val>
            <c:numRef>
              <c:f>'Failure Mode Effects Model- WTC'!$H$23:$H$138</c:f>
              <c:numCache>
                <c:formatCode>0.000000000</c:formatCode>
                <c:ptCount val="116"/>
                <c:pt idx="0">
                  <c:v>0.998</c:v>
                </c:pt>
                <c:pt idx="1">
                  <c:v>0.998</c:v>
                </c:pt>
                <c:pt idx="2">
                  <c:v>0.998</c:v>
                </c:pt>
                <c:pt idx="3">
                  <c:v>0.998</c:v>
                </c:pt>
                <c:pt idx="4">
                  <c:v>0.998</c:v>
                </c:pt>
                <c:pt idx="5">
                  <c:v>0.998</c:v>
                </c:pt>
                <c:pt idx="6">
                  <c:v>0.998</c:v>
                </c:pt>
                <c:pt idx="7">
                  <c:v>0.998</c:v>
                </c:pt>
                <c:pt idx="8">
                  <c:v>0.998</c:v>
                </c:pt>
                <c:pt idx="9">
                  <c:v>0.998</c:v>
                </c:pt>
                <c:pt idx="10">
                  <c:v>0.998</c:v>
                </c:pt>
                <c:pt idx="11">
                  <c:v>0.998</c:v>
                </c:pt>
                <c:pt idx="12">
                  <c:v>0.998</c:v>
                </c:pt>
                <c:pt idx="13">
                  <c:v>0.998</c:v>
                </c:pt>
                <c:pt idx="14">
                  <c:v>0.998</c:v>
                </c:pt>
                <c:pt idx="15">
                  <c:v>0.998</c:v>
                </c:pt>
                <c:pt idx="16">
                  <c:v>0.998</c:v>
                </c:pt>
                <c:pt idx="17">
                  <c:v>0.998</c:v>
                </c:pt>
                <c:pt idx="18">
                  <c:v>0.998</c:v>
                </c:pt>
                <c:pt idx="19">
                  <c:v>0.998</c:v>
                </c:pt>
                <c:pt idx="20">
                  <c:v>0.998</c:v>
                </c:pt>
                <c:pt idx="21">
                  <c:v>0.998</c:v>
                </c:pt>
                <c:pt idx="22">
                  <c:v>0.998</c:v>
                </c:pt>
                <c:pt idx="23">
                  <c:v>0.998</c:v>
                </c:pt>
                <c:pt idx="24">
                  <c:v>0.998</c:v>
                </c:pt>
                <c:pt idx="25">
                  <c:v>0.99797604819161523</c:v>
                </c:pt>
                <c:pt idx="26">
                  <c:v>0.99788024632313099</c:v>
                </c:pt>
                <c:pt idx="27">
                  <c:v>0.99766472488079061</c:v>
                </c:pt>
                <c:pt idx="28">
                  <c:v>0.99728168904535219</c:v>
                </c:pt>
                <c:pt idx="29">
                  <c:v>0.99668348754605196</c:v>
                </c:pt>
                <c:pt idx="30">
                  <c:v>0.99582270426544395</c:v>
                </c:pt>
                <c:pt idx="31">
                  <c:v>0.99465227234108222</c:v>
                </c:pt>
                <c:pt idx="32">
                  <c:v>0.99312561037257718</c:v>
                </c:pt>
                <c:pt idx="33">
                  <c:v>0.99119678017604573</c:v>
                </c:pt>
                <c:pt idx="34">
                  <c:v>0.988820665333628</c:v>
                </c:pt>
                <c:pt idx="35">
                  <c:v>0.98595316956527923</c:v>
                </c:pt>
                <c:pt idx="36">
                  <c:v>0.98255143370570441</c:v>
                </c:pt>
                <c:pt idx="37">
                  <c:v>0.97857406980392603</c:v>
                </c:pt>
                <c:pt idx="38">
                  <c:v>0.97398141058002441</c:v>
                </c:pt>
                <c:pt idx="39">
                  <c:v>0.96873577217720142</c:v>
                </c:pt>
                <c:pt idx="40">
                  <c:v>0.96280172784230555</c:v>
                </c:pt>
                <c:pt idx="41">
                  <c:v>0.95614638985981137</c:v>
                </c:pt>
                <c:pt idx="42">
                  <c:v>0.94873969675911829</c:v>
                </c:pt>
                <c:pt idx="43">
                  <c:v>0.94055470251967899</c:v>
                </c:pt>
                <c:pt idx="44">
                  <c:v>0.93156786422017501</c:v>
                </c:pt>
                <c:pt idx="45">
                  <c:v>0.92175932432446461</c:v>
                </c:pt>
                <c:pt idx="46">
                  <c:v>0.91111318357637505</c:v>
                </c:pt>
                <c:pt idx="47">
                  <c:v>0.89961776029580331</c:v>
                </c:pt>
                <c:pt idx="48">
                  <c:v>0.88726583173822315</c:v>
                </c:pt>
                <c:pt idx="49">
                  <c:v>0.87405485310653175</c:v>
                </c:pt>
                <c:pt idx="50">
                  <c:v>0.85998714979574553</c:v>
                </c:pt>
                <c:pt idx="51">
                  <c:v>0.84507007851421334</c:v>
                </c:pt>
                <c:pt idx="52">
                  <c:v>0.82931615306567641</c:v>
                </c:pt>
                <c:pt idx="53">
                  <c:v>0.81274313079939386</c:v>
                </c:pt>
                <c:pt idx="54">
                  <c:v>0.7953740560439676</c:v>
                </c:pt>
                <c:pt idx="55">
                  <c:v>0.77723725723604598</c:v>
                </c:pt>
                <c:pt idx="56">
                  <c:v>0.75836629493748042</c:v>
                </c:pt>
                <c:pt idx="57">
                  <c:v>0.73879985850138308</c:v>
                </c:pt>
                <c:pt idx="58">
                  <c:v>0.71858160979428087</c:v>
                </c:pt>
                <c:pt idx="59">
                  <c:v>0.69775997310125049</c:v>
                </c:pt>
                <c:pt idx="60">
                  <c:v>0.67638787112425636</c:v>
                </c:pt>
                <c:pt idx="61">
                  <c:v>0.65452240781926752</c:v>
                </c:pt>
                <c:pt idx="62">
                  <c:v>0.6322244996912415</c:v>
                </c:pt>
                <c:pt idx="63">
                  <c:v>0.60955845806183784</c:v>
                </c:pt>
                <c:pt idx="64">
                  <c:v>0.58659152572507567</c:v>
                </c:pt>
                <c:pt idx="65">
                  <c:v>0.56339337229197406</c:v>
                </c:pt>
                <c:pt idx="66">
                  <c:v>0.54003555337637454</c:v>
                </c:pt>
                <c:pt idx="67">
                  <c:v>0.51659093957000179</c:v>
                </c:pt>
                <c:pt idx="68">
                  <c:v>0.49313312187472746</c:v>
                </c:pt>
                <c:pt idx="69">
                  <c:v>0.4697358008839515</c:v>
                </c:pt>
                <c:pt idx="70">
                  <c:v>0.44647216751420649</c:v>
                </c:pt>
                <c:pt idx="71">
                  <c:v>0.42341428346557597</c:v>
                </c:pt>
                <c:pt idx="72">
                  <c:v>0.40063246982081746</c:v>
                </c:pt>
                <c:pt idx="73">
                  <c:v>0.37819471226672846</c:v>
                </c:pt>
                <c:pt idx="74">
                  <c:v>0.35616609132938248</c:v>
                </c:pt>
                <c:pt idx="75">
                  <c:v>0.3346082457534324</c:v>
                </c:pt>
                <c:pt idx="76">
                  <c:v>0.31357887672507123</c:v>
                </c:pt>
                <c:pt idx="77">
                  <c:v>0.29313130004327759</c:v>
                </c:pt>
                <c:pt idx="78">
                  <c:v>0.27331405259401537</c:v>
                </c:pt>
                <c:pt idx="79">
                  <c:v>0.25417055859093035</c:v>
                </c:pt>
                <c:pt idx="80">
                  <c:v>0.23573886003180861</c:v>
                </c:pt>
                <c:pt idx="81">
                  <c:v>0.21805141470448031</c:v>
                </c:pt>
                <c:pt idx="82">
                  <c:v>0.2011349638840666</c:v>
                </c:pt>
                <c:pt idx="83">
                  <c:v>0.18501047062318021</c:v>
                </c:pt>
                <c:pt idx="84">
                  <c:v>0.16969312827740579</c:v>
                </c:pt>
                <c:pt idx="85">
                  <c:v>0.15519243766053889</c:v>
                </c:pt>
                <c:pt idx="86">
                  <c:v>0.14151235001809445</c:v>
                </c:pt>
                <c:pt idx="87">
                  <c:v>0.12865147187299392</c:v>
                </c:pt>
                <c:pt idx="88">
                  <c:v>0.11660332676170761</c:v>
                </c:pt>
                <c:pt idx="89">
                  <c:v>0.10535666796729214</c:v>
                </c:pt>
                <c:pt idx="90">
                  <c:v>9.4895835588971439E-2</c:v>
                </c:pt>
                <c:pt idx="91">
                  <c:v>8.5201150683155064E-2</c:v>
                </c:pt>
                <c:pt idx="92">
                  <c:v>7.62493387802652E-2</c:v>
                </c:pt>
                <c:pt idx="93">
                  <c:v>6.8013974832491539E-2</c:v>
                </c:pt>
                <c:pt idx="94">
                  <c:v>6.0465941581307872E-2</c:v>
                </c:pt>
                <c:pt idx="95">
                  <c:v>5.3573893446639306E-2</c:v>
                </c:pt>
                <c:pt idx="96">
                  <c:v>4.7304718323217712E-2</c:v>
                </c:pt>
                <c:pt idx="97">
                  <c:v>4.1623990110430588E-2</c:v>
                </c:pt>
                <c:pt idx="98">
                  <c:v>3.6496405382207442E-2</c:v>
                </c:pt>
                <c:pt idx="99">
                  <c:v>3.1886198302076674E-2</c:v>
                </c:pt>
                <c:pt idx="100">
                  <c:v>2.7757528681678086E-2</c:v>
                </c:pt>
                <c:pt idx="101">
                  <c:v>2.4074838943166449E-2</c:v>
                </c:pt>
                <c:pt idx="102">
                  <c:v>2.0803176650669376E-2</c:v>
                </c:pt>
                <c:pt idx="103">
                  <c:v>1.790848019691535E-2</c:v>
                </c:pt>
                <c:pt idx="104">
                  <c:v>1.5357826142924923E-2</c:v>
                </c:pt>
                <c:pt idx="105">
                  <c:v>1.3119637587621994E-2</c:v>
                </c:pt>
                <c:pt idx="106">
                  <c:v>1.1163853769203525E-2</c:v>
                </c:pt>
                <c:pt idx="107">
                  <c:v>9.4620618529810668E-3</c:v>
                </c:pt>
                <c:pt idx="108">
                  <c:v>7.9875925265254308E-3</c:v>
                </c:pt>
                <c:pt idx="109">
                  <c:v>6.7155815914024574E-3</c:v>
                </c:pt>
                <c:pt idx="110">
                  <c:v>5.6230002045342224E-3</c:v>
                </c:pt>
                <c:pt idx="111">
                  <c:v>4.6886567780201069E-3</c:v>
                </c:pt>
                <c:pt idx="112">
                  <c:v>3.8931737944932813E-3</c:v>
                </c:pt>
                <c:pt idx="113">
                  <c:v>3.2189429394681559E-3</c:v>
                </c:pt>
                <c:pt idx="114">
                  <c:v>2.6500619992438253E-3</c:v>
                </c:pt>
                <c:pt idx="115">
                  <c:v>2.1722569317565092E-3</c:v>
                </c:pt>
              </c:numCache>
            </c:numRef>
          </c:val>
          <c:smooth val="0"/>
        </c:ser>
        <c:dLbls>
          <c:showLegendKey val="0"/>
          <c:showVal val="0"/>
          <c:showCatName val="0"/>
          <c:showSerName val="0"/>
          <c:showPercent val="0"/>
          <c:showBubbleSize val="0"/>
        </c:dLbls>
        <c:smooth val="0"/>
        <c:axId val="250354552"/>
        <c:axId val="250354944"/>
      </c:lineChart>
      <c:catAx>
        <c:axId val="250354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250354944"/>
        <c:crosses val="autoZero"/>
        <c:auto val="1"/>
        <c:lblAlgn val="ctr"/>
        <c:lblOffset val="100"/>
        <c:noMultiLvlLbl val="0"/>
      </c:catAx>
      <c:valAx>
        <c:axId val="250354944"/>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crossAx val="2503545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20532974995689"/>
          <c:y val="0.16179001521696049"/>
          <c:w val="0.85233819587636195"/>
          <c:h val="0.62928563729858966"/>
        </c:manualLayout>
      </c:layout>
      <c:lineChart>
        <c:grouping val="standard"/>
        <c:varyColors val="0"/>
        <c:ser>
          <c:idx val="0"/>
          <c:order val="0"/>
          <c:tx>
            <c:strRef>
              <c:f>'Failure Mode Effects Model- WTC'!$D$22</c:f>
              <c:strCache>
                <c:ptCount val="1"/>
                <c:pt idx="0">
                  <c:v>Failure Mechanism PDF</c:v>
                </c:pt>
              </c:strCache>
            </c:strRef>
          </c:tx>
          <c:cat>
            <c:numRef>
              <c:extLst>
                <c:ext xmlns:c15="http://schemas.microsoft.com/office/drawing/2012/chart" uri="{02D57815-91ED-43cb-92C2-25804820EDAC}">
                  <c15:fullRef>
                    <c15:sqref>'Failure Mode Effects Model- WTC'!$A$23:$A$137</c15:sqref>
                  </c15:fullRef>
                </c:ext>
              </c:extLst>
              <c:f>'Failure Mode Effects Model- WTC'!$A$43:$A$137</c:f>
              <c:numCache>
                <c:formatCode>General</c:formatCode>
                <c:ptCount val="9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numCache>
            </c:numRef>
          </c:cat>
          <c:val>
            <c:numRef>
              <c:extLst>
                <c:ext xmlns:c15="http://schemas.microsoft.com/office/drawing/2012/chart" uri="{02D57815-91ED-43cb-92C2-25804820EDAC}">
                  <c15:fullRef>
                    <c15:sqref>'Failure Mode Effects Model- WTC'!$D$23:$D$138</c15:sqref>
                  </c15:fullRef>
                </c:ext>
              </c:extLst>
              <c:f>'Failure Mode Effects Model- WTC'!$D$43:$D$138</c:f>
              <c:numCache>
                <c:formatCode>0.000</c:formatCode>
                <c:ptCount val="96"/>
                <c:pt idx="0">
                  <c:v>0</c:v>
                </c:pt>
                <c:pt idx="1">
                  <c:v>0</c:v>
                </c:pt>
                <c:pt idx="2">
                  <c:v>0</c:v>
                </c:pt>
                <c:pt idx="3">
                  <c:v>0</c:v>
                </c:pt>
                <c:pt idx="4">
                  <c:v>0</c:v>
                </c:pt>
                <c:pt idx="5">
                  <c:v>2.3999808000768E-5</c:v>
                </c:pt>
                <c:pt idx="6">
                  <c:v>9.599385619660381E-5</c:v>
                </c:pt>
                <c:pt idx="7">
                  <c:v>2.1595334903848522E-4</c:v>
                </c:pt>
                <c:pt idx="8">
                  <c:v>3.8380344232305915E-4</c:v>
                </c:pt>
                <c:pt idx="9">
                  <c:v>5.994002999000251E-4</c:v>
                </c:pt>
                <c:pt idx="10">
                  <c:v>8.625082972024005E-4</c:v>
                </c:pt>
                <c:pt idx="11">
                  <c:v>1.1727774793203795E-3</c:v>
                </c:pt>
                <c:pt idx="12">
                  <c:v>1.5297214113277017E-3</c:v>
                </c:pt>
                <c:pt idx="13">
                  <c:v>1.9326955877069119E-3</c:v>
                </c:pt>
                <c:pt idx="14">
                  <c:v>2.3808765956089459E-3</c:v>
                </c:pt>
                <c:pt idx="15">
                  <c:v>2.8732422528544551E-3</c:v>
                </c:pt>
                <c:pt idx="16">
                  <c:v>3.4085529655058081E-3</c:v>
                </c:pt>
                <c:pt idx="17">
                  <c:v>3.9853345709202096E-3</c:v>
                </c:pt>
                <c:pt idx="18">
                  <c:v>4.601862949801222E-3</c:v>
                </c:pt>
                <c:pt idx="19">
                  <c:v>5.2561507042314182E-3</c:v>
                </c:pt>
                <c:pt idx="20">
                  <c:v>5.9459362073104472E-3</c:v>
                </c:pt>
                <c:pt idx="21">
                  <c:v>6.6686753331605423E-3</c:v>
                </c:pt>
                <c:pt idx="22">
                  <c:v>7.4215361730391458E-3</c:v>
                </c:pt>
                <c:pt idx="23">
                  <c:v>8.2013970335062941E-3</c:v>
                </c:pt>
                <c:pt idx="24">
                  <c:v>9.004847995495004E-3</c:v>
                </c:pt>
                <c:pt idx="25">
                  <c:v>9.8281962882869195E-3</c:v>
                </c:pt>
                <c:pt idx="26">
                  <c:v>1.0667475699488518E-2</c:v>
                </c:pt>
                <c:pt idx="27">
                  <c:v>1.1518460200973633E-2</c:v>
                </c:pt>
                <c:pt idx="28">
                  <c:v>1.2376681921422959E-2</c:v>
                </c:pt>
                <c:pt idx="29">
                  <c:v>1.3237453538768932E-2</c:v>
                </c:pt>
                <c:pt idx="30">
                  <c:v>1.4095895100988241E-2</c:v>
                </c:pt>
                <c:pt idx="31">
                  <c:v>1.4946965211956072E-2</c:v>
                </c:pt>
                <c:pt idx="32">
                  <c:v>1.5785496441419765E-2</c:v>
                </c:pt>
                <c:pt idx="33">
                  <c:v>1.6606234735754077E-2</c:v>
                </c:pt>
                <c:pt idx="34">
                  <c:v>1.7403882520467158E-2</c:v>
                </c:pt>
                <c:pt idx="35">
                  <c:v>1.8173145098117828E-2</c:v>
                </c:pt>
                <c:pt idx="36">
                  <c:v>1.8908779858282151E-2</c:v>
                </c:pt>
                <c:pt idx="37">
                  <c:v>1.9605647731560465E-2</c:v>
                </c:pt>
                <c:pt idx="38">
                  <c:v>2.0258766239581345E-2</c:v>
                </c:pt>
                <c:pt idx="39">
                  <c:v>2.0863363419870131E-2</c:v>
                </c:pt>
                <c:pt idx="40">
                  <c:v>2.1414931840675486E-2</c:v>
                </c:pt>
                <c:pt idx="41">
                  <c:v>2.1909281868726333E-2</c:v>
                </c:pt>
                <c:pt idx="42">
                  <c:v>2.2342593314655327E-2</c:v>
                </c:pt>
                <c:pt idx="43">
                  <c:v>2.2711464558520734E-2</c:v>
                </c:pt>
                <c:pt idx="44">
                  <c:v>2.3012958253268677E-2</c:v>
                </c:pt>
                <c:pt idx="45">
                  <c:v>2.3244642718538738E-2</c:v>
                </c:pt>
                <c:pt idx="46">
                  <c:v>2.3404628171943453E-2</c:v>
                </c:pt>
                <c:pt idx="47">
                  <c:v>2.3491597000373496E-2</c:v>
                </c:pt>
                <c:pt idx="48">
                  <c:v>2.3504827349974285E-2</c:v>
                </c:pt>
                <c:pt idx="49">
                  <c:v>2.3444209409595122E-2</c:v>
                </c:pt>
                <c:pt idx="50">
                  <c:v>2.3310253877500044E-2</c:v>
                </c:pt>
                <c:pt idx="51">
                  <c:v>2.3104092233096684E-2</c:v>
                </c:pt>
                <c:pt idx="52">
                  <c:v>2.282746858192233E-2</c:v>
                </c:pt>
                <c:pt idx="53">
                  <c:v>2.2482723000089168E-2</c:v>
                </c:pt>
                <c:pt idx="54">
                  <c:v>2.2072766470286539E-2</c:v>
                </c:pt>
                <c:pt idx="55">
                  <c:v>2.16010476712927E-2</c:v>
                </c:pt>
                <c:pt idx="56">
                  <c:v>2.1071512052466091E-2</c:v>
                </c:pt>
                <c:pt idx="57">
                  <c:v>2.0488553789372411E-2</c:v>
                </c:pt>
                <c:pt idx="58">
                  <c:v>1.9856961372006217E-2</c:v>
                </c:pt>
                <c:pt idx="59">
                  <c:v>1.9181857718522061E-2</c:v>
                </c:pt>
                <c:pt idx="60">
                  <c:v>1.8468635830783304E-2</c:v>
                </c:pt>
                <c:pt idx="61">
                  <c:v>1.7722891109547379E-2</c:v>
                </c:pt>
                <c:pt idx="62">
                  <c:v>1.6950351523460631E-2</c:v>
                </c:pt>
                <c:pt idx="63">
                  <c:v>1.6156806874635655E-2</c:v>
                </c:pt>
                <c:pt idx="64">
                  <c:v>1.5348038422619658E-2</c:v>
                </c:pt>
                <c:pt idx="65">
                  <c:v>1.4529750117101115E-2</c:v>
                </c:pt>
                <c:pt idx="66">
                  <c:v>1.3707502647739929E-2</c:v>
                </c:pt>
                <c:pt idx="67">
                  <c:v>1.2886651447996531E-2</c:v>
                </c:pt>
                <c:pt idx="68">
                  <c:v>1.2072289690667646E-2</c:v>
                </c:pt>
                <c:pt idx="69">
                  <c:v>1.1269197188793056E-2</c:v>
                </c:pt>
                <c:pt idx="70">
                  <c:v>1.0481795970261217E-2</c:v>
                </c:pt>
                <c:pt idx="71">
                  <c:v>9.7141131320805339E-3</c:v>
                </c:pt>
                <c:pt idx="72">
                  <c:v>8.9697514057012605E-3</c:v>
                </c:pt>
                <c:pt idx="73">
                  <c:v>8.2518676831399417E-3</c:v>
                </c:pt>
                <c:pt idx="74">
                  <c:v>7.563159570324318E-3</c:v>
                </c:pt>
                <c:pt idx="75">
                  <c:v>6.9058598543773218E-3</c:v>
                </c:pt>
                <c:pt idx="76">
                  <c:v>6.2817386006228364E-3</c:v>
                </c:pt>
                <c:pt idx="77">
                  <c:v>5.6921124376624463E-3</c:v>
                </c:pt>
                <c:pt idx="78">
                  <c:v>5.1378604491213861E-3</c:v>
                </c:pt>
                <c:pt idx="79">
                  <c:v>4.6194459720749143E-3</c:v>
                </c:pt>
                <c:pt idx="80">
                  <c:v>4.1369435074134131E-3</c:v>
                </c:pt>
                <c:pt idx="81">
                  <c:v>3.6900698782681724E-3</c:v>
                </c:pt>
                <c:pt idx="82">
                  <c:v>3.2782187299569879E-3</c:v>
                </c:pt>
                <c:pt idx="83">
                  <c:v>2.9004974486513298E-3</c:v>
                </c:pt>
                <c:pt idx="84">
                  <c:v>2.5557655851607469E-3</c:v>
                </c:pt>
                <c:pt idx="85">
                  <c:v>2.2426739031091475E-3</c:v>
                </c:pt>
                <c:pt idx="86">
                  <c:v>1.9597032248682067E-3</c:v>
                </c:pt>
                <c:pt idx="87">
                  <c:v>1.7052023208641871E-3</c:v>
                </c:pt>
                <c:pt idx="88">
                  <c:v>1.4774241748052464E-3</c:v>
                </c:pt>
                <c:pt idx="89">
                  <c:v>1.2745600552334405E-3</c:v>
                </c:pt>
                <c:pt idx="90">
                  <c:v>1.0947709287256865E-3</c:v>
                </c:pt>
                <c:pt idx="91">
                  <c:v>9.3621585823057667E-4</c:v>
                </c:pt>
                <c:pt idx="92">
                  <c:v>7.9707713780243048E-4</c:v>
                </c:pt>
                <c:pt idx="93">
                  <c:v>6.7558201906325194E-4</c:v>
                </c:pt>
                <c:pt idx="94">
                  <c:v>5.7002098218870794E-4</c:v>
                </c:pt>
                <c:pt idx="95">
                  <c:v>4.7876259267266142E-4</c:v>
                </c:pt>
              </c:numCache>
            </c:numRef>
          </c:val>
          <c:smooth val="0"/>
        </c:ser>
        <c:ser>
          <c:idx val="3"/>
          <c:order val="1"/>
          <c:tx>
            <c:strRef>
              <c:f>'Failure Mode Effects Model- WTC'!$H$22</c:f>
              <c:strCache>
                <c:ptCount val="1"/>
                <c:pt idx="0">
                  <c:v>Est. Reliablility</c:v>
                </c:pt>
              </c:strCache>
            </c:strRef>
          </c:tx>
          <c:cat>
            <c:numRef>
              <c:extLst>
                <c:ext xmlns:c15="http://schemas.microsoft.com/office/drawing/2012/chart" uri="{02D57815-91ED-43cb-92C2-25804820EDAC}">
                  <c15:fullRef>
                    <c15:sqref>'Failure Mode Effects Model- WTC'!$A$23:$A$137</c15:sqref>
                  </c15:fullRef>
                </c:ext>
              </c:extLst>
              <c:f>'Failure Mode Effects Model- WTC'!$A$43:$A$137</c:f>
              <c:numCache>
                <c:formatCode>General</c:formatCode>
                <c:ptCount val="9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numCache>
            </c:numRef>
          </c:cat>
          <c:val>
            <c:numRef>
              <c:extLst>
                <c:ext xmlns:c15="http://schemas.microsoft.com/office/drawing/2012/chart" uri="{02D57815-91ED-43cb-92C2-25804820EDAC}">
                  <c15:fullRef>
                    <c15:sqref>'Failure Mode Effects Model- WTC'!$H$23:$H$138</c15:sqref>
                  </c15:fullRef>
                </c:ext>
              </c:extLst>
              <c:f>'Failure Mode Effects Model- WTC'!$H$43:$H$138</c:f>
              <c:numCache>
                <c:formatCode>0.000000000</c:formatCode>
                <c:ptCount val="96"/>
                <c:pt idx="0">
                  <c:v>0.998</c:v>
                </c:pt>
                <c:pt idx="1">
                  <c:v>0.998</c:v>
                </c:pt>
                <c:pt idx="2">
                  <c:v>0.998</c:v>
                </c:pt>
                <c:pt idx="3">
                  <c:v>0.998</c:v>
                </c:pt>
                <c:pt idx="4">
                  <c:v>0.998</c:v>
                </c:pt>
                <c:pt idx="5">
                  <c:v>0.99797604819161523</c:v>
                </c:pt>
                <c:pt idx="6">
                  <c:v>0.99788024632313099</c:v>
                </c:pt>
                <c:pt idx="7">
                  <c:v>0.99766472488079061</c:v>
                </c:pt>
                <c:pt idx="8">
                  <c:v>0.99728168904535219</c:v>
                </c:pt>
                <c:pt idx="9">
                  <c:v>0.99668348754605196</c:v>
                </c:pt>
                <c:pt idx="10">
                  <c:v>0.99582270426544395</c:v>
                </c:pt>
                <c:pt idx="11">
                  <c:v>0.99465227234108222</c:v>
                </c:pt>
                <c:pt idx="12">
                  <c:v>0.99312561037257718</c:v>
                </c:pt>
                <c:pt idx="13">
                  <c:v>0.99119678017604573</c:v>
                </c:pt>
                <c:pt idx="14">
                  <c:v>0.988820665333628</c:v>
                </c:pt>
                <c:pt idx="15">
                  <c:v>0.98595316956527923</c:v>
                </c:pt>
                <c:pt idx="16">
                  <c:v>0.98255143370570441</c:v>
                </c:pt>
                <c:pt idx="17">
                  <c:v>0.97857406980392603</c:v>
                </c:pt>
                <c:pt idx="18">
                  <c:v>0.97398141058002441</c:v>
                </c:pt>
                <c:pt idx="19">
                  <c:v>0.96873577217720142</c:v>
                </c:pt>
                <c:pt idx="20">
                  <c:v>0.96280172784230555</c:v>
                </c:pt>
                <c:pt idx="21">
                  <c:v>0.95614638985981137</c:v>
                </c:pt>
                <c:pt idx="22">
                  <c:v>0.94873969675911829</c:v>
                </c:pt>
                <c:pt idx="23">
                  <c:v>0.94055470251967899</c:v>
                </c:pt>
                <c:pt idx="24">
                  <c:v>0.93156786422017501</c:v>
                </c:pt>
                <c:pt idx="25">
                  <c:v>0.92175932432446461</c:v>
                </c:pt>
                <c:pt idx="26">
                  <c:v>0.91111318357637505</c:v>
                </c:pt>
                <c:pt idx="27">
                  <c:v>0.89961776029580331</c:v>
                </c:pt>
                <c:pt idx="28">
                  <c:v>0.88726583173822315</c:v>
                </c:pt>
                <c:pt idx="29">
                  <c:v>0.87405485310653175</c:v>
                </c:pt>
                <c:pt idx="30">
                  <c:v>0.85998714979574553</c:v>
                </c:pt>
                <c:pt idx="31">
                  <c:v>0.84507007851421334</c:v>
                </c:pt>
                <c:pt idx="32">
                  <c:v>0.82931615306567641</c:v>
                </c:pt>
                <c:pt idx="33">
                  <c:v>0.81274313079939386</c:v>
                </c:pt>
                <c:pt idx="34">
                  <c:v>0.7953740560439676</c:v>
                </c:pt>
                <c:pt idx="35">
                  <c:v>0.77723725723604598</c:v>
                </c:pt>
                <c:pt idx="36">
                  <c:v>0.75836629493748042</c:v>
                </c:pt>
                <c:pt idx="37">
                  <c:v>0.73879985850138308</c:v>
                </c:pt>
                <c:pt idx="38">
                  <c:v>0.71858160979428087</c:v>
                </c:pt>
                <c:pt idx="39">
                  <c:v>0.69775997310125049</c:v>
                </c:pt>
                <c:pt idx="40">
                  <c:v>0.67638787112425636</c:v>
                </c:pt>
                <c:pt idx="41">
                  <c:v>0.65452240781926752</c:v>
                </c:pt>
                <c:pt idx="42">
                  <c:v>0.6322244996912415</c:v>
                </c:pt>
                <c:pt idx="43">
                  <c:v>0.60955845806183784</c:v>
                </c:pt>
                <c:pt idx="44">
                  <c:v>0.58659152572507567</c:v>
                </c:pt>
                <c:pt idx="45">
                  <c:v>0.56339337229197406</c:v>
                </c:pt>
                <c:pt idx="46">
                  <c:v>0.54003555337637454</c:v>
                </c:pt>
                <c:pt idx="47">
                  <c:v>0.51659093957000179</c:v>
                </c:pt>
                <c:pt idx="48">
                  <c:v>0.49313312187472746</c:v>
                </c:pt>
                <c:pt idx="49">
                  <c:v>0.4697358008839515</c:v>
                </c:pt>
                <c:pt idx="50">
                  <c:v>0.44647216751420649</c:v>
                </c:pt>
                <c:pt idx="51">
                  <c:v>0.42341428346557597</c:v>
                </c:pt>
                <c:pt idx="52">
                  <c:v>0.40063246982081746</c:v>
                </c:pt>
                <c:pt idx="53">
                  <c:v>0.37819471226672846</c:v>
                </c:pt>
                <c:pt idx="54">
                  <c:v>0.35616609132938248</c:v>
                </c:pt>
                <c:pt idx="55">
                  <c:v>0.3346082457534324</c:v>
                </c:pt>
                <c:pt idx="56">
                  <c:v>0.31357887672507123</c:v>
                </c:pt>
                <c:pt idx="57">
                  <c:v>0.29313130004327759</c:v>
                </c:pt>
                <c:pt idx="58">
                  <c:v>0.27331405259401537</c:v>
                </c:pt>
                <c:pt idx="59">
                  <c:v>0.25417055859093035</c:v>
                </c:pt>
                <c:pt idx="60">
                  <c:v>0.23573886003180861</c:v>
                </c:pt>
                <c:pt idx="61">
                  <c:v>0.21805141470448031</c:v>
                </c:pt>
                <c:pt idx="62">
                  <c:v>0.2011349638840666</c:v>
                </c:pt>
                <c:pt idx="63">
                  <c:v>0.18501047062318021</c:v>
                </c:pt>
                <c:pt idx="64">
                  <c:v>0.16969312827740579</c:v>
                </c:pt>
                <c:pt idx="65">
                  <c:v>0.15519243766053889</c:v>
                </c:pt>
                <c:pt idx="66">
                  <c:v>0.14151235001809445</c:v>
                </c:pt>
                <c:pt idx="67">
                  <c:v>0.12865147187299392</c:v>
                </c:pt>
                <c:pt idx="68">
                  <c:v>0.11660332676170761</c:v>
                </c:pt>
                <c:pt idx="69">
                  <c:v>0.10535666796729214</c:v>
                </c:pt>
                <c:pt idx="70">
                  <c:v>9.4895835588971439E-2</c:v>
                </c:pt>
                <c:pt idx="71">
                  <c:v>8.5201150683155064E-2</c:v>
                </c:pt>
                <c:pt idx="72">
                  <c:v>7.62493387802652E-2</c:v>
                </c:pt>
                <c:pt idx="73">
                  <c:v>6.8013974832491539E-2</c:v>
                </c:pt>
                <c:pt idx="74">
                  <c:v>6.0465941581307872E-2</c:v>
                </c:pt>
                <c:pt idx="75">
                  <c:v>5.3573893446639306E-2</c:v>
                </c:pt>
                <c:pt idx="76">
                  <c:v>4.7304718323217712E-2</c:v>
                </c:pt>
                <c:pt idx="77">
                  <c:v>4.1623990110430588E-2</c:v>
                </c:pt>
                <c:pt idx="78">
                  <c:v>3.6496405382207442E-2</c:v>
                </c:pt>
                <c:pt idx="79">
                  <c:v>3.1886198302076674E-2</c:v>
                </c:pt>
                <c:pt idx="80">
                  <c:v>2.7757528681678086E-2</c:v>
                </c:pt>
                <c:pt idx="81">
                  <c:v>2.4074838943166449E-2</c:v>
                </c:pt>
                <c:pt idx="82">
                  <c:v>2.0803176650669376E-2</c:v>
                </c:pt>
                <c:pt idx="83">
                  <c:v>1.790848019691535E-2</c:v>
                </c:pt>
                <c:pt idx="84">
                  <c:v>1.5357826142924923E-2</c:v>
                </c:pt>
                <c:pt idx="85">
                  <c:v>1.3119637587621994E-2</c:v>
                </c:pt>
                <c:pt idx="86">
                  <c:v>1.1163853769203525E-2</c:v>
                </c:pt>
                <c:pt idx="87">
                  <c:v>9.4620618529810668E-3</c:v>
                </c:pt>
                <c:pt idx="88">
                  <c:v>7.9875925265254308E-3</c:v>
                </c:pt>
                <c:pt idx="89">
                  <c:v>6.7155815914024574E-3</c:v>
                </c:pt>
                <c:pt idx="90">
                  <c:v>5.6230002045342224E-3</c:v>
                </c:pt>
                <c:pt idx="91">
                  <c:v>4.6886567780201069E-3</c:v>
                </c:pt>
                <c:pt idx="92">
                  <c:v>3.8931737944932813E-3</c:v>
                </c:pt>
                <c:pt idx="93">
                  <c:v>3.2189429394681559E-3</c:v>
                </c:pt>
                <c:pt idx="94">
                  <c:v>2.6500619992438253E-3</c:v>
                </c:pt>
                <c:pt idx="95">
                  <c:v>2.1722569317565092E-3</c:v>
                </c:pt>
              </c:numCache>
            </c:numRef>
          </c:val>
          <c:smooth val="0"/>
        </c:ser>
        <c:ser>
          <c:idx val="1"/>
          <c:order val="2"/>
          <c:tx>
            <c:strRef>
              <c:f>'Failure Mode Effects Model- WTC'!$G$22</c:f>
              <c:strCache>
                <c:ptCount val="1"/>
                <c:pt idx="0">
                  <c:v>Risk to Ops CDF</c:v>
                </c:pt>
              </c:strCache>
              <c:extLst xmlns:c15="http://schemas.microsoft.com/office/drawing/2012/chart"/>
            </c:strRef>
          </c:tx>
          <c:cat>
            <c:numRef>
              <c:extLst>
                <c:ext xmlns:c15="http://schemas.microsoft.com/office/drawing/2012/chart" uri="{02D57815-91ED-43cb-92C2-25804820EDAC}">
                  <c15:fullRef>
                    <c15:sqref>'Failure Mode Effects Model- WTC'!$A$23:$A$137</c15:sqref>
                  </c15:fullRef>
                </c:ext>
              </c:extLst>
              <c:f>'Failure Mode Effects Model- WTC'!$A$43:$A$137</c:f>
              <c:numCache>
                <c:formatCode>General</c:formatCode>
                <c:ptCount val="95"/>
                <c:pt idx="0">
                  <c:v>2005</c:v>
                </c:pt>
                <c:pt idx="1">
                  <c:v>2006</c:v>
                </c:pt>
                <c:pt idx="2">
                  <c:v>2007</c:v>
                </c:pt>
                <c:pt idx="3">
                  <c:v>2008</c:v>
                </c:pt>
                <c:pt idx="4">
                  <c:v>2009</c:v>
                </c:pt>
                <c:pt idx="5">
                  <c:v>2010</c:v>
                </c:pt>
                <c:pt idx="6">
                  <c:v>2011</c:v>
                </c:pt>
                <c:pt idx="7">
                  <c:v>2012</c:v>
                </c:pt>
                <c:pt idx="8">
                  <c:v>2013</c:v>
                </c:pt>
                <c:pt idx="9">
                  <c:v>2014</c:v>
                </c:pt>
                <c:pt idx="10">
                  <c:v>2015</c:v>
                </c:pt>
                <c:pt idx="11">
                  <c:v>2016</c:v>
                </c:pt>
                <c:pt idx="12">
                  <c:v>2017</c:v>
                </c:pt>
                <c:pt idx="13">
                  <c:v>2018</c:v>
                </c:pt>
                <c:pt idx="14">
                  <c:v>2019</c:v>
                </c:pt>
                <c:pt idx="15">
                  <c:v>2020</c:v>
                </c:pt>
                <c:pt idx="16">
                  <c:v>2021</c:v>
                </c:pt>
                <c:pt idx="17">
                  <c:v>2022</c:v>
                </c:pt>
                <c:pt idx="18">
                  <c:v>2023</c:v>
                </c:pt>
                <c:pt idx="19">
                  <c:v>2024</c:v>
                </c:pt>
                <c:pt idx="20">
                  <c:v>2025</c:v>
                </c:pt>
                <c:pt idx="21">
                  <c:v>2026</c:v>
                </c:pt>
                <c:pt idx="22">
                  <c:v>2027</c:v>
                </c:pt>
                <c:pt idx="23">
                  <c:v>2028</c:v>
                </c:pt>
                <c:pt idx="24">
                  <c:v>2029</c:v>
                </c:pt>
                <c:pt idx="25">
                  <c:v>2030</c:v>
                </c:pt>
                <c:pt idx="26">
                  <c:v>2031</c:v>
                </c:pt>
                <c:pt idx="27">
                  <c:v>2032</c:v>
                </c:pt>
                <c:pt idx="28">
                  <c:v>2033</c:v>
                </c:pt>
                <c:pt idx="29">
                  <c:v>2034</c:v>
                </c:pt>
                <c:pt idx="30">
                  <c:v>2035</c:v>
                </c:pt>
                <c:pt idx="31">
                  <c:v>2036</c:v>
                </c:pt>
                <c:pt idx="32">
                  <c:v>2037</c:v>
                </c:pt>
                <c:pt idx="33">
                  <c:v>2038</c:v>
                </c:pt>
                <c:pt idx="34">
                  <c:v>2039</c:v>
                </c:pt>
                <c:pt idx="35">
                  <c:v>2040</c:v>
                </c:pt>
                <c:pt idx="36">
                  <c:v>2041</c:v>
                </c:pt>
                <c:pt idx="37">
                  <c:v>2042</c:v>
                </c:pt>
                <c:pt idx="38">
                  <c:v>2043</c:v>
                </c:pt>
                <c:pt idx="39">
                  <c:v>2044</c:v>
                </c:pt>
                <c:pt idx="40">
                  <c:v>2045</c:v>
                </c:pt>
                <c:pt idx="41">
                  <c:v>2046</c:v>
                </c:pt>
                <c:pt idx="42">
                  <c:v>2047</c:v>
                </c:pt>
                <c:pt idx="43">
                  <c:v>2048</c:v>
                </c:pt>
                <c:pt idx="44">
                  <c:v>2049</c:v>
                </c:pt>
                <c:pt idx="45">
                  <c:v>2050</c:v>
                </c:pt>
                <c:pt idx="46">
                  <c:v>2051</c:v>
                </c:pt>
                <c:pt idx="47">
                  <c:v>2052</c:v>
                </c:pt>
                <c:pt idx="48">
                  <c:v>2053</c:v>
                </c:pt>
                <c:pt idx="49">
                  <c:v>2054</c:v>
                </c:pt>
                <c:pt idx="50">
                  <c:v>2055</c:v>
                </c:pt>
                <c:pt idx="51">
                  <c:v>2056</c:v>
                </c:pt>
                <c:pt idx="52">
                  <c:v>2057</c:v>
                </c:pt>
                <c:pt idx="53">
                  <c:v>2058</c:v>
                </c:pt>
                <c:pt idx="54">
                  <c:v>2059</c:v>
                </c:pt>
                <c:pt idx="55">
                  <c:v>2060</c:v>
                </c:pt>
                <c:pt idx="56">
                  <c:v>2061</c:v>
                </c:pt>
                <c:pt idx="57">
                  <c:v>2062</c:v>
                </c:pt>
                <c:pt idx="58">
                  <c:v>2063</c:v>
                </c:pt>
                <c:pt idx="59">
                  <c:v>2064</c:v>
                </c:pt>
                <c:pt idx="60">
                  <c:v>2065</c:v>
                </c:pt>
                <c:pt idx="61">
                  <c:v>2066</c:v>
                </c:pt>
                <c:pt idx="62">
                  <c:v>2067</c:v>
                </c:pt>
                <c:pt idx="63">
                  <c:v>2068</c:v>
                </c:pt>
                <c:pt idx="64">
                  <c:v>2069</c:v>
                </c:pt>
                <c:pt idx="65">
                  <c:v>2070</c:v>
                </c:pt>
                <c:pt idx="66">
                  <c:v>2071</c:v>
                </c:pt>
                <c:pt idx="67">
                  <c:v>2072</c:v>
                </c:pt>
                <c:pt idx="68">
                  <c:v>2073</c:v>
                </c:pt>
                <c:pt idx="69">
                  <c:v>2074</c:v>
                </c:pt>
                <c:pt idx="70">
                  <c:v>2075</c:v>
                </c:pt>
                <c:pt idx="71">
                  <c:v>2076</c:v>
                </c:pt>
                <c:pt idx="72">
                  <c:v>2077</c:v>
                </c:pt>
                <c:pt idx="73">
                  <c:v>2078</c:v>
                </c:pt>
                <c:pt idx="74">
                  <c:v>2079</c:v>
                </c:pt>
                <c:pt idx="75">
                  <c:v>2080</c:v>
                </c:pt>
                <c:pt idx="76">
                  <c:v>2081</c:v>
                </c:pt>
                <c:pt idx="77">
                  <c:v>2082</c:v>
                </c:pt>
                <c:pt idx="78">
                  <c:v>2083</c:v>
                </c:pt>
                <c:pt idx="79">
                  <c:v>2084</c:v>
                </c:pt>
                <c:pt idx="80">
                  <c:v>2085</c:v>
                </c:pt>
                <c:pt idx="81">
                  <c:v>2086</c:v>
                </c:pt>
                <c:pt idx="82">
                  <c:v>2087</c:v>
                </c:pt>
                <c:pt idx="83">
                  <c:v>2088</c:v>
                </c:pt>
                <c:pt idx="84">
                  <c:v>2089</c:v>
                </c:pt>
                <c:pt idx="85">
                  <c:v>2090</c:v>
                </c:pt>
                <c:pt idx="86">
                  <c:v>2091</c:v>
                </c:pt>
                <c:pt idx="87">
                  <c:v>2092</c:v>
                </c:pt>
                <c:pt idx="88">
                  <c:v>2093</c:v>
                </c:pt>
                <c:pt idx="89">
                  <c:v>2094</c:v>
                </c:pt>
                <c:pt idx="90">
                  <c:v>2095</c:v>
                </c:pt>
                <c:pt idx="91">
                  <c:v>2096</c:v>
                </c:pt>
                <c:pt idx="92">
                  <c:v>2097</c:v>
                </c:pt>
                <c:pt idx="93">
                  <c:v>2098</c:v>
                </c:pt>
                <c:pt idx="94">
                  <c:v>2099</c:v>
                </c:pt>
              </c:numCache>
            </c:numRef>
          </c:cat>
          <c:val>
            <c:numRef>
              <c:extLst>
                <c:ext xmlns:c15="http://schemas.microsoft.com/office/drawing/2012/chart" uri="{02D57815-91ED-43cb-92C2-25804820EDAC}">
                  <c15:fullRef>
                    <c15:sqref>'Failure Mode Effects Model- WTC'!$G$23:$G$138</c15:sqref>
                  </c15:fullRef>
                </c:ext>
              </c:extLst>
              <c:f>'Failure Mode Effects Model- WTC'!$G$43:$G$138</c:f>
              <c:numCache>
                <c:formatCode>0.000000000</c:formatCode>
                <c:ptCount val="96"/>
                <c:pt idx="0">
                  <c:v>0</c:v>
                </c:pt>
                <c:pt idx="1">
                  <c:v>0</c:v>
                </c:pt>
                <c:pt idx="2">
                  <c:v>0</c:v>
                </c:pt>
                <c:pt idx="3">
                  <c:v>0</c:v>
                </c:pt>
                <c:pt idx="4">
                  <c:v>0</c:v>
                </c:pt>
                <c:pt idx="5">
                  <c:v>2.3999808000768E-5</c:v>
                </c:pt>
                <c:pt idx="6">
                  <c:v>1.1999366419737181E-4</c:v>
                </c:pt>
                <c:pt idx="7">
                  <c:v>3.3594701323585703E-4</c:v>
                </c:pt>
                <c:pt idx="8">
                  <c:v>7.1975045555891623E-4</c:v>
                </c:pt>
                <c:pt idx="9">
                  <c:v>1.3191507554589413E-3</c:v>
                </c:pt>
                <c:pt idx="10">
                  <c:v>2.1816590526613417E-3</c:v>
                </c:pt>
                <c:pt idx="11">
                  <c:v>3.3544365319817214E-3</c:v>
                </c:pt>
                <c:pt idx="12">
                  <c:v>4.8841579433094228E-3</c:v>
                </c:pt>
                <c:pt idx="13">
                  <c:v>6.8168535310163345E-3</c:v>
                </c:pt>
                <c:pt idx="14">
                  <c:v>9.1977301266252809E-3</c:v>
                </c:pt>
                <c:pt idx="15">
                  <c:v>1.2070972379479735E-2</c:v>
                </c:pt>
                <c:pt idx="16">
                  <c:v>1.5479525344985543E-2</c:v>
                </c:pt>
                <c:pt idx="17">
                  <c:v>1.9464859915905752E-2</c:v>
                </c:pt>
                <c:pt idx="18">
                  <c:v>2.4066722865706974E-2</c:v>
                </c:pt>
                <c:pt idx="19">
                  <c:v>2.9322873569938391E-2</c:v>
                </c:pt>
                <c:pt idx="20">
                  <c:v>3.526880977724884E-2</c:v>
                </c:pt>
                <c:pt idx="21">
                  <c:v>4.193748511040938E-2</c:v>
                </c:pt>
                <c:pt idx="22">
                  <c:v>4.9359021283448525E-2</c:v>
                </c:pt>
                <c:pt idx="23">
                  <c:v>5.7560418316954819E-2</c:v>
                </c:pt>
                <c:pt idx="24">
                  <c:v>6.6565266312449828E-2</c:v>
                </c:pt>
                <c:pt idx="25">
                  <c:v>7.6393462600736747E-2</c:v>
                </c:pt>
                <c:pt idx="26">
                  <c:v>8.7060938300225266E-2</c:v>
                </c:pt>
                <c:pt idx="27">
                  <c:v>9.85793985011989E-2</c:v>
                </c:pt>
                <c:pt idx="28">
                  <c:v>0.11095608042262187</c:v>
                </c:pt>
                <c:pt idx="29">
                  <c:v>0.1241935339613908</c:v>
                </c:pt>
                <c:pt idx="30">
                  <c:v>0.13828942906237904</c:v>
                </c:pt>
                <c:pt idx="31">
                  <c:v>0.15323639427433511</c:v>
                </c:pt>
                <c:pt idx="32">
                  <c:v>0.16902189071575488</c:v>
                </c:pt>
                <c:pt idx="33">
                  <c:v>0.18562812545150895</c:v>
                </c:pt>
                <c:pt idx="34">
                  <c:v>0.2030320079719761</c:v>
                </c:pt>
                <c:pt idx="35">
                  <c:v>0.22120515307009392</c:v>
                </c:pt>
                <c:pt idx="36">
                  <c:v>0.24011393292837607</c:v>
                </c:pt>
                <c:pt idx="37">
                  <c:v>0.25971958065993656</c:v>
                </c:pt>
                <c:pt idx="38">
                  <c:v>0.27997834689951789</c:v>
                </c:pt>
                <c:pt idx="39">
                  <c:v>0.300841710319388</c:v>
                </c:pt>
                <c:pt idx="40">
                  <c:v>0.3222566421600635</c:v>
                </c:pt>
                <c:pt idx="41">
                  <c:v>0.34416592402878982</c:v>
                </c:pt>
                <c:pt idx="42">
                  <c:v>0.36650851734344514</c:v>
                </c:pt>
                <c:pt idx="43">
                  <c:v>0.38921998190196588</c:v>
                </c:pt>
                <c:pt idx="44">
                  <c:v>0.41223294015523454</c:v>
                </c:pt>
                <c:pt idx="45">
                  <c:v>0.43547758287377325</c:v>
                </c:pt>
                <c:pt idx="46">
                  <c:v>0.45888221104571669</c:v>
                </c:pt>
                <c:pt idx="47">
                  <c:v>0.4823738080460902</c:v>
                </c:pt>
                <c:pt idx="48">
                  <c:v>0.50587863539606448</c:v>
                </c:pt>
                <c:pt idx="49">
                  <c:v>0.52932284480565961</c:v>
                </c:pt>
                <c:pt idx="50">
                  <c:v>0.55263309868315968</c:v>
                </c:pt>
                <c:pt idx="51">
                  <c:v>0.57573719091625641</c:v>
                </c:pt>
                <c:pt idx="52">
                  <c:v>0.59856465949817872</c:v>
                </c:pt>
                <c:pt idx="53">
                  <c:v>0.62104738249826785</c:v>
                </c:pt>
                <c:pt idx="54">
                  <c:v>0.64312014896855441</c:v>
                </c:pt>
                <c:pt idx="55">
                  <c:v>0.66472119663984708</c:v>
                </c:pt>
                <c:pt idx="56">
                  <c:v>0.68579270869231312</c:v>
                </c:pt>
                <c:pt idx="57">
                  <c:v>0.70628126248168555</c:v>
                </c:pt>
                <c:pt idx="58">
                  <c:v>0.72613822385369176</c:v>
                </c:pt>
                <c:pt idx="59">
                  <c:v>0.74532008157221386</c:v>
                </c:pt>
                <c:pt idx="60">
                  <c:v>0.76378871740299714</c:v>
                </c:pt>
                <c:pt idx="61">
                  <c:v>0.78151160851254453</c:v>
                </c:pt>
                <c:pt idx="62">
                  <c:v>0.79846196003600511</c:v>
                </c:pt>
                <c:pt idx="63">
                  <c:v>0.81461876691064072</c:v>
                </c:pt>
                <c:pt idx="64">
                  <c:v>0.82996680533326039</c:v>
                </c:pt>
                <c:pt idx="65">
                  <c:v>0.84449655545036151</c:v>
                </c:pt>
                <c:pt idx="66">
                  <c:v>0.85820405809810141</c:v>
                </c:pt>
                <c:pt idx="67">
                  <c:v>0.87109070954609791</c:v>
                </c:pt>
                <c:pt idx="68">
                  <c:v>0.88316299923676556</c:v>
                </c:pt>
                <c:pt idx="69">
                  <c:v>0.8944321964255586</c:v>
                </c:pt>
                <c:pt idx="70">
                  <c:v>0.90491399239581982</c:v>
                </c:pt>
                <c:pt idx="71">
                  <c:v>0.9146281055279003</c:v>
                </c:pt>
                <c:pt idx="72">
                  <c:v>0.92359785693360152</c:v>
                </c:pt>
                <c:pt idx="73">
                  <c:v>0.93184972461674143</c:v>
                </c:pt>
                <c:pt idx="74">
                  <c:v>0.9394128841870657</c:v>
                </c:pt>
                <c:pt idx="75">
                  <c:v>0.94631874404144301</c:v>
                </c:pt>
                <c:pt idx="76">
                  <c:v>0.95260048264206587</c:v>
                </c:pt>
                <c:pt idx="77">
                  <c:v>0.9582925950797283</c:v>
                </c:pt>
                <c:pt idx="78">
                  <c:v>0.96343045552884965</c:v>
                </c:pt>
                <c:pt idx="79">
                  <c:v>0.96804990150092451</c:v>
                </c:pt>
                <c:pt idx="80">
                  <c:v>0.97218684500833796</c:v>
                </c:pt>
                <c:pt idx="81">
                  <c:v>0.97587691488660611</c:v>
                </c:pt>
                <c:pt idx="82">
                  <c:v>0.97915513361656314</c:v>
                </c:pt>
                <c:pt idx="83">
                  <c:v>0.98205563106521443</c:v>
                </c:pt>
                <c:pt idx="84">
                  <c:v>0.98461139665037523</c:v>
                </c:pt>
                <c:pt idx="85">
                  <c:v>0.9868540705534844</c:v>
                </c:pt>
                <c:pt idx="86">
                  <c:v>0.98881377377835256</c:v>
                </c:pt>
                <c:pt idx="87">
                  <c:v>0.9905189760992168</c:v>
                </c:pt>
                <c:pt idx="88">
                  <c:v>0.99199640027402203</c:v>
                </c:pt>
                <c:pt idx="89">
                  <c:v>0.99327096032925544</c:v>
                </c:pt>
                <c:pt idx="90">
                  <c:v>0.99436573125798111</c:v>
                </c:pt>
                <c:pt idx="91">
                  <c:v>0.99530194711621167</c:v>
                </c:pt>
                <c:pt idx="92">
                  <c:v>0.99609902425401409</c:v>
                </c:pt>
                <c:pt idx="93">
                  <c:v>0.99677460627307735</c:v>
                </c:pt>
                <c:pt idx="94">
                  <c:v>0.99734462725526607</c:v>
                </c:pt>
                <c:pt idx="95">
                  <c:v>0.99782338984793872</c:v>
                </c:pt>
              </c:numCache>
            </c:numRef>
          </c:val>
          <c:smooth val="0"/>
        </c:ser>
        <c:dLbls>
          <c:showLegendKey val="0"/>
          <c:showVal val="0"/>
          <c:showCatName val="0"/>
          <c:showSerName val="0"/>
          <c:showPercent val="0"/>
          <c:showBubbleSize val="0"/>
        </c:dLbls>
        <c:marker val="1"/>
        <c:smooth val="0"/>
        <c:axId val="317274976"/>
        <c:axId val="317275368"/>
        <c:extLst/>
      </c:lineChart>
      <c:dateAx>
        <c:axId val="317274976"/>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317275368"/>
        <c:crosses val="autoZero"/>
        <c:auto val="0"/>
        <c:lblOffset val="100"/>
        <c:baseTimeUnit val="days"/>
      </c:dateAx>
      <c:valAx>
        <c:axId val="317275368"/>
        <c:scaling>
          <c:orientation val="minMax"/>
          <c:max val="1"/>
          <c:min val="0"/>
        </c:scaling>
        <c:delete val="0"/>
        <c:axPos val="l"/>
        <c:majorGridlines/>
        <c:numFmt formatCode="0%" sourceLinked="0"/>
        <c:majorTickMark val="out"/>
        <c:minorTickMark val="none"/>
        <c:tickLblPos val="nextTo"/>
        <c:crossAx val="317274976"/>
        <c:crosses val="autoZero"/>
        <c:crossBetween val="midCat"/>
        <c:minorUnit val="0.1"/>
      </c:valAx>
    </c:plotArea>
    <c:legend>
      <c:legendPos val="r"/>
      <c:layout>
        <c:manualLayout>
          <c:xMode val="edge"/>
          <c:yMode val="edge"/>
          <c:x val="5.6772196722806548E-2"/>
          <c:y val="0.89989314518231955"/>
          <c:w val="0.91458819908259104"/>
          <c:h val="0.1001068548176804"/>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'FMEM-Metal Film Resistor'!$A$23:$A$138</c:f>
              <c:numCache>
                <c:formatCode>General</c:formatCode>
                <c:ptCount val="116"/>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pt idx="31">
                  <c:v>2016</c:v>
                </c:pt>
                <c:pt idx="32">
                  <c:v>2017</c:v>
                </c:pt>
                <c:pt idx="33">
                  <c:v>2018</c:v>
                </c:pt>
                <c:pt idx="34">
                  <c:v>2019</c:v>
                </c:pt>
                <c:pt idx="35">
                  <c:v>2020</c:v>
                </c:pt>
                <c:pt idx="36">
                  <c:v>2021</c:v>
                </c:pt>
                <c:pt idx="37">
                  <c:v>2022</c:v>
                </c:pt>
                <c:pt idx="38">
                  <c:v>2023</c:v>
                </c:pt>
                <c:pt idx="39">
                  <c:v>2024</c:v>
                </c:pt>
                <c:pt idx="40">
                  <c:v>2025</c:v>
                </c:pt>
                <c:pt idx="41">
                  <c:v>2026</c:v>
                </c:pt>
                <c:pt idx="42">
                  <c:v>2027</c:v>
                </c:pt>
                <c:pt idx="43">
                  <c:v>2028</c:v>
                </c:pt>
                <c:pt idx="44">
                  <c:v>2029</c:v>
                </c:pt>
                <c:pt idx="45">
                  <c:v>2030</c:v>
                </c:pt>
                <c:pt idx="46">
                  <c:v>2031</c:v>
                </c:pt>
                <c:pt idx="47">
                  <c:v>2032</c:v>
                </c:pt>
                <c:pt idx="48">
                  <c:v>2033</c:v>
                </c:pt>
                <c:pt idx="49">
                  <c:v>2034</c:v>
                </c:pt>
                <c:pt idx="50">
                  <c:v>2035</c:v>
                </c:pt>
                <c:pt idx="51">
                  <c:v>2036</c:v>
                </c:pt>
                <c:pt idx="52">
                  <c:v>2037</c:v>
                </c:pt>
                <c:pt idx="53">
                  <c:v>2038</c:v>
                </c:pt>
                <c:pt idx="54">
                  <c:v>2039</c:v>
                </c:pt>
                <c:pt idx="55">
                  <c:v>2040</c:v>
                </c:pt>
                <c:pt idx="56">
                  <c:v>2041</c:v>
                </c:pt>
                <c:pt idx="57">
                  <c:v>2042</c:v>
                </c:pt>
                <c:pt idx="58">
                  <c:v>2043</c:v>
                </c:pt>
                <c:pt idx="59">
                  <c:v>2044</c:v>
                </c:pt>
                <c:pt idx="60">
                  <c:v>2045</c:v>
                </c:pt>
                <c:pt idx="61">
                  <c:v>2046</c:v>
                </c:pt>
                <c:pt idx="62">
                  <c:v>2047</c:v>
                </c:pt>
                <c:pt idx="63">
                  <c:v>2048</c:v>
                </c:pt>
                <c:pt idx="64">
                  <c:v>2049</c:v>
                </c:pt>
                <c:pt idx="65">
                  <c:v>2050</c:v>
                </c:pt>
                <c:pt idx="66">
                  <c:v>2051</c:v>
                </c:pt>
                <c:pt idx="67">
                  <c:v>2052</c:v>
                </c:pt>
                <c:pt idx="68">
                  <c:v>2053</c:v>
                </c:pt>
                <c:pt idx="69">
                  <c:v>2054</c:v>
                </c:pt>
                <c:pt idx="70">
                  <c:v>2055</c:v>
                </c:pt>
                <c:pt idx="71">
                  <c:v>2056</c:v>
                </c:pt>
                <c:pt idx="72">
                  <c:v>2057</c:v>
                </c:pt>
                <c:pt idx="73">
                  <c:v>2058</c:v>
                </c:pt>
                <c:pt idx="74">
                  <c:v>2059</c:v>
                </c:pt>
                <c:pt idx="75">
                  <c:v>2060</c:v>
                </c:pt>
                <c:pt idx="76">
                  <c:v>2061</c:v>
                </c:pt>
                <c:pt idx="77">
                  <c:v>2062</c:v>
                </c:pt>
                <c:pt idx="78">
                  <c:v>2063</c:v>
                </c:pt>
                <c:pt idx="79">
                  <c:v>2064</c:v>
                </c:pt>
                <c:pt idx="80">
                  <c:v>2065</c:v>
                </c:pt>
                <c:pt idx="81">
                  <c:v>2066</c:v>
                </c:pt>
                <c:pt idx="82">
                  <c:v>2067</c:v>
                </c:pt>
                <c:pt idx="83">
                  <c:v>2068</c:v>
                </c:pt>
                <c:pt idx="84">
                  <c:v>2069</c:v>
                </c:pt>
                <c:pt idx="85">
                  <c:v>2070</c:v>
                </c:pt>
                <c:pt idx="86">
                  <c:v>2071</c:v>
                </c:pt>
                <c:pt idx="87">
                  <c:v>2072</c:v>
                </c:pt>
                <c:pt idx="88">
                  <c:v>2073</c:v>
                </c:pt>
                <c:pt idx="89">
                  <c:v>2074</c:v>
                </c:pt>
                <c:pt idx="90">
                  <c:v>2075</c:v>
                </c:pt>
                <c:pt idx="91">
                  <c:v>2076</c:v>
                </c:pt>
                <c:pt idx="92">
                  <c:v>2077</c:v>
                </c:pt>
                <c:pt idx="93">
                  <c:v>2078</c:v>
                </c:pt>
                <c:pt idx="94">
                  <c:v>2079</c:v>
                </c:pt>
                <c:pt idx="95">
                  <c:v>2080</c:v>
                </c:pt>
                <c:pt idx="96">
                  <c:v>2081</c:v>
                </c:pt>
                <c:pt idx="97">
                  <c:v>2082</c:v>
                </c:pt>
                <c:pt idx="98">
                  <c:v>2083</c:v>
                </c:pt>
                <c:pt idx="99">
                  <c:v>2084</c:v>
                </c:pt>
                <c:pt idx="100">
                  <c:v>2085</c:v>
                </c:pt>
                <c:pt idx="101">
                  <c:v>2086</c:v>
                </c:pt>
                <c:pt idx="102">
                  <c:v>2087</c:v>
                </c:pt>
                <c:pt idx="103">
                  <c:v>2088</c:v>
                </c:pt>
                <c:pt idx="104">
                  <c:v>2089</c:v>
                </c:pt>
                <c:pt idx="105">
                  <c:v>2090</c:v>
                </c:pt>
                <c:pt idx="106">
                  <c:v>2091</c:v>
                </c:pt>
                <c:pt idx="107">
                  <c:v>2092</c:v>
                </c:pt>
                <c:pt idx="108">
                  <c:v>2093</c:v>
                </c:pt>
                <c:pt idx="109">
                  <c:v>2094</c:v>
                </c:pt>
                <c:pt idx="110">
                  <c:v>2095</c:v>
                </c:pt>
                <c:pt idx="111">
                  <c:v>2096</c:v>
                </c:pt>
                <c:pt idx="112">
                  <c:v>2097</c:v>
                </c:pt>
                <c:pt idx="113">
                  <c:v>2098</c:v>
                </c:pt>
                <c:pt idx="114">
                  <c:v>2099</c:v>
                </c:pt>
                <c:pt idx="115">
                  <c:v>2100</c:v>
                </c:pt>
              </c:numCache>
            </c:numRef>
          </c:cat>
          <c:val>
            <c:numRef>
              <c:f>'FMEM-Metal Film Resistor'!$D$23:$D$138</c:f>
              <c:numCache>
                <c:formatCode>0.000000000</c:formatCode>
                <c:ptCount val="1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2.3999808000768E-5</c:v>
                </c:pt>
                <c:pt idx="26">
                  <c:v>9.599385619660381E-5</c:v>
                </c:pt>
                <c:pt idx="27">
                  <c:v>2.1595334903848522E-4</c:v>
                </c:pt>
                <c:pt idx="28">
                  <c:v>3.8380344232305915E-4</c:v>
                </c:pt>
                <c:pt idx="29">
                  <c:v>5.994002999000251E-4</c:v>
                </c:pt>
                <c:pt idx="30">
                  <c:v>8.625082972024005E-4</c:v>
                </c:pt>
                <c:pt idx="31">
                  <c:v>1.1727774793203795E-3</c:v>
                </c:pt>
                <c:pt idx="32">
                  <c:v>1.5297214113277017E-3</c:v>
                </c:pt>
                <c:pt idx="33">
                  <c:v>1.9326955877069119E-3</c:v>
                </c:pt>
                <c:pt idx="34">
                  <c:v>2.3808765956089459E-3</c:v>
                </c:pt>
                <c:pt idx="35">
                  <c:v>2.8732422528544551E-3</c:v>
                </c:pt>
                <c:pt idx="36">
                  <c:v>3.4085529655058081E-3</c:v>
                </c:pt>
                <c:pt idx="37">
                  <c:v>3.9853345709202096E-3</c:v>
                </c:pt>
                <c:pt idx="38">
                  <c:v>4.601862949801222E-3</c:v>
                </c:pt>
                <c:pt idx="39">
                  <c:v>5.2561507042314182E-3</c:v>
                </c:pt>
                <c:pt idx="40">
                  <c:v>5.9459362073104472E-3</c:v>
                </c:pt>
                <c:pt idx="41">
                  <c:v>6.6686753331605423E-3</c:v>
                </c:pt>
                <c:pt idx="42">
                  <c:v>7.4215361730391458E-3</c:v>
                </c:pt>
                <c:pt idx="43">
                  <c:v>8.2013970335062941E-3</c:v>
                </c:pt>
                <c:pt idx="44">
                  <c:v>9.004847995495004E-3</c:v>
                </c:pt>
                <c:pt idx="45">
                  <c:v>9.8281962882869195E-3</c:v>
                </c:pt>
                <c:pt idx="46">
                  <c:v>1.0667475699488518E-2</c:v>
                </c:pt>
                <c:pt idx="47">
                  <c:v>1.1518460200973633E-2</c:v>
                </c:pt>
                <c:pt idx="48">
                  <c:v>1.2376681921422959E-2</c:v>
                </c:pt>
                <c:pt idx="49">
                  <c:v>1.3237453538768932E-2</c:v>
                </c:pt>
                <c:pt idx="50">
                  <c:v>1.4095895100988241E-2</c:v>
                </c:pt>
                <c:pt idx="51">
                  <c:v>1.4946965211956072E-2</c:v>
                </c:pt>
                <c:pt idx="52">
                  <c:v>1.5785496441419765E-2</c:v>
                </c:pt>
                <c:pt idx="53">
                  <c:v>1.6606234735754077E-2</c:v>
                </c:pt>
                <c:pt idx="54">
                  <c:v>1.7403882520467158E-2</c:v>
                </c:pt>
                <c:pt idx="55">
                  <c:v>1.8173145098117828E-2</c:v>
                </c:pt>
                <c:pt idx="56">
                  <c:v>1.8908779858282151E-2</c:v>
                </c:pt>
                <c:pt idx="57">
                  <c:v>1.9605647731560465E-2</c:v>
                </c:pt>
                <c:pt idx="58">
                  <c:v>2.0258766239581345E-2</c:v>
                </c:pt>
                <c:pt idx="59">
                  <c:v>2.0863363419870131E-2</c:v>
                </c:pt>
                <c:pt idx="60">
                  <c:v>2.1414931840675486E-2</c:v>
                </c:pt>
                <c:pt idx="61">
                  <c:v>2.1909281868726333E-2</c:v>
                </c:pt>
                <c:pt idx="62">
                  <c:v>2.2342593314655327E-2</c:v>
                </c:pt>
                <c:pt idx="63">
                  <c:v>2.2711464558520734E-2</c:v>
                </c:pt>
                <c:pt idx="64">
                  <c:v>2.3012958253268677E-2</c:v>
                </c:pt>
                <c:pt idx="65">
                  <c:v>2.3244642718538738E-2</c:v>
                </c:pt>
                <c:pt idx="66">
                  <c:v>2.3404628171943453E-2</c:v>
                </c:pt>
                <c:pt idx="67">
                  <c:v>2.3491597000373496E-2</c:v>
                </c:pt>
                <c:pt idx="68">
                  <c:v>2.3504827349974285E-2</c:v>
                </c:pt>
                <c:pt idx="69">
                  <c:v>2.3444209409595122E-2</c:v>
                </c:pt>
                <c:pt idx="70">
                  <c:v>2.3310253877500044E-2</c:v>
                </c:pt>
                <c:pt idx="71">
                  <c:v>2.3104092233096684E-2</c:v>
                </c:pt>
                <c:pt idx="72">
                  <c:v>2.282746858192233E-2</c:v>
                </c:pt>
                <c:pt idx="73">
                  <c:v>2.2482723000089168E-2</c:v>
                </c:pt>
                <c:pt idx="74">
                  <c:v>2.2072766470286539E-2</c:v>
                </c:pt>
                <c:pt idx="75">
                  <c:v>2.16010476712927E-2</c:v>
                </c:pt>
                <c:pt idx="76">
                  <c:v>2.1071512052466091E-2</c:v>
                </c:pt>
                <c:pt idx="77">
                  <c:v>2.0488553789372411E-2</c:v>
                </c:pt>
                <c:pt idx="78">
                  <c:v>1.9856961372006217E-2</c:v>
                </c:pt>
                <c:pt idx="79">
                  <c:v>1.9181857718522061E-2</c:v>
                </c:pt>
                <c:pt idx="80">
                  <c:v>1.8468635830783304E-2</c:v>
                </c:pt>
                <c:pt idx="81">
                  <c:v>1.7722891109547379E-2</c:v>
                </c:pt>
                <c:pt idx="82">
                  <c:v>1.6950351523460631E-2</c:v>
                </c:pt>
                <c:pt idx="83">
                  <c:v>1.6156806874635655E-2</c:v>
                </c:pt>
                <c:pt idx="84">
                  <c:v>1.5348038422619658E-2</c:v>
                </c:pt>
                <c:pt idx="85">
                  <c:v>1.4529750117101115E-2</c:v>
                </c:pt>
                <c:pt idx="86">
                  <c:v>1.3707502647739929E-2</c:v>
                </c:pt>
                <c:pt idx="87">
                  <c:v>1.2886651447996531E-2</c:v>
                </c:pt>
                <c:pt idx="88">
                  <c:v>1.2072289690667646E-2</c:v>
                </c:pt>
                <c:pt idx="89">
                  <c:v>1.1269197188793056E-2</c:v>
                </c:pt>
                <c:pt idx="90">
                  <c:v>1.0481795970261217E-2</c:v>
                </c:pt>
                <c:pt idx="91">
                  <c:v>9.7141131320805339E-3</c:v>
                </c:pt>
                <c:pt idx="92">
                  <c:v>8.9697514057012605E-3</c:v>
                </c:pt>
                <c:pt idx="93">
                  <c:v>8.2518676831399417E-3</c:v>
                </c:pt>
                <c:pt idx="94">
                  <c:v>7.563159570324318E-3</c:v>
                </c:pt>
                <c:pt idx="95">
                  <c:v>6.9058598543773218E-3</c:v>
                </c:pt>
                <c:pt idx="96">
                  <c:v>6.2817386006228364E-3</c:v>
                </c:pt>
                <c:pt idx="97">
                  <c:v>5.6921124376624463E-3</c:v>
                </c:pt>
                <c:pt idx="98">
                  <c:v>5.1378604491213861E-3</c:v>
                </c:pt>
                <c:pt idx="99">
                  <c:v>4.6194459720749143E-3</c:v>
                </c:pt>
                <c:pt idx="100">
                  <c:v>4.1369435074134131E-3</c:v>
                </c:pt>
                <c:pt idx="101">
                  <c:v>3.6900698782681724E-3</c:v>
                </c:pt>
                <c:pt idx="102">
                  <c:v>3.2782187299569879E-3</c:v>
                </c:pt>
                <c:pt idx="103">
                  <c:v>2.9004974486513298E-3</c:v>
                </c:pt>
                <c:pt idx="104">
                  <c:v>2.5557655851607469E-3</c:v>
                </c:pt>
                <c:pt idx="105">
                  <c:v>2.2426739031091475E-3</c:v>
                </c:pt>
                <c:pt idx="106">
                  <c:v>1.9597032248682067E-3</c:v>
                </c:pt>
                <c:pt idx="107">
                  <c:v>1.7052023208641871E-3</c:v>
                </c:pt>
                <c:pt idx="108">
                  <c:v>1.4774241748052464E-3</c:v>
                </c:pt>
                <c:pt idx="109">
                  <c:v>1.2745600552334405E-3</c:v>
                </c:pt>
                <c:pt idx="110">
                  <c:v>1.0947709287256865E-3</c:v>
                </c:pt>
                <c:pt idx="111">
                  <c:v>9.3621585823057667E-4</c:v>
                </c:pt>
                <c:pt idx="112">
                  <c:v>7.9707713780243048E-4</c:v>
                </c:pt>
                <c:pt idx="113">
                  <c:v>6.7558201906325194E-4</c:v>
                </c:pt>
                <c:pt idx="114">
                  <c:v>5.7002098218870794E-4</c:v>
                </c:pt>
                <c:pt idx="115">
                  <c:v>4.7876259267266142E-4</c:v>
                </c:pt>
              </c:numCache>
            </c:numRef>
          </c:val>
        </c:ser>
        <c:dLbls>
          <c:showLegendKey val="0"/>
          <c:showVal val="0"/>
          <c:showCatName val="0"/>
          <c:showSerName val="0"/>
          <c:showPercent val="0"/>
          <c:showBubbleSize val="0"/>
        </c:dLbls>
        <c:gapWidth val="219"/>
        <c:overlap val="-27"/>
        <c:axId val="249004080"/>
        <c:axId val="317276936"/>
      </c:barChart>
      <c:catAx>
        <c:axId val="24900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276936"/>
        <c:crosses val="autoZero"/>
        <c:auto val="1"/>
        <c:lblAlgn val="ctr"/>
        <c:lblOffset val="100"/>
        <c:noMultiLvlLbl val="0"/>
      </c:catAx>
      <c:valAx>
        <c:axId val="3172769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004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7965408821062884E-2"/>
          <c:y val="0.1111883678899999"/>
          <c:w val="0.89868003318795553"/>
          <c:h val="0.74386853027454614"/>
        </c:manualLayout>
      </c:layout>
      <c:lineChart>
        <c:grouping val="standard"/>
        <c:varyColors val="0"/>
        <c:ser>
          <c:idx val="2"/>
          <c:order val="0"/>
          <c:tx>
            <c:v>Operational Reliability Impact</c:v>
          </c:tx>
          <c:spPr>
            <a:ln w="28575" cap="rnd">
              <a:solidFill>
                <a:sysClr val="windowText" lastClr="000000"/>
              </a:solidFill>
              <a:round/>
            </a:ln>
            <a:effectLst/>
          </c:spPr>
          <c:marker>
            <c:symbol val="none"/>
          </c:marker>
          <c:errBars>
            <c:errDir val="y"/>
            <c:errBarType val="both"/>
            <c:errValType val="stdErr"/>
            <c:noEndCap val="0"/>
            <c:spPr>
              <a:noFill/>
              <a:ln w="9525" cap="flat" cmpd="sng" algn="ctr">
                <a:solidFill>
                  <a:schemeClr val="tx1">
                    <a:lumMod val="65000"/>
                    <a:lumOff val="35000"/>
                  </a:schemeClr>
                </a:solidFill>
                <a:round/>
              </a:ln>
              <a:effectLst/>
            </c:spPr>
          </c:errBars>
          <c:cat>
            <c:numRef>
              <c:f>'FMEM- metal Film Resistor'!$E$11:$E$227</c:f>
              <c:numCache>
                <c:formatCode>General</c:formatCode>
                <c:ptCount val="217"/>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pt idx="42">
                  <c:v>2026</c:v>
                </c:pt>
                <c:pt idx="43">
                  <c:v>2027</c:v>
                </c:pt>
                <c:pt idx="44">
                  <c:v>2028</c:v>
                </c:pt>
                <c:pt idx="45">
                  <c:v>2029</c:v>
                </c:pt>
                <c:pt idx="46">
                  <c:v>2030</c:v>
                </c:pt>
                <c:pt idx="47">
                  <c:v>2031</c:v>
                </c:pt>
                <c:pt idx="48">
                  <c:v>2032</c:v>
                </c:pt>
                <c:pt idx="49">
                  <c:v>2033</c:v>
                </c:pt>
                <c:pt idx="50">
                  <c:v>2034</c:v>
                </c:pt>
                <c:pt idx="51">
                  <c:v>2035</c:v>
                </c:pt>
                <c:pt idx="52">
                  <c:v>2036</c:v>
                </c:pt>
                <c:pt idx="53">
                  <c:v>2037</c:v>
                </c:pt>
                <c:pt idx="54">
                  <c:v>2038</c:v>
                </c:pt>
                <c:pt idx="55">
                  <c:v>2039</c:v>
                </c:pt>
                <c:pt idx="56">
                  <c:v>2040</c:v>
                </c:pt>
                <c:pt idx="57">
                  <c:v>2041</c:v>
                </c:pt>
                <c:pt idx="58">
                  <c:v>2042</c:v>
                </c:pt>
                <c:pt idx="59">
                  <c:v>2043</c:v>
                </c:pt>
                <c:pt idx="60">
                  <c:v>2044</c:v>
                </c:pt>
                <c:pt idx="61">
                  <c:v>2045</c:v>
                </c:pt>
                <c:pt idx="62">
                  <c:v>2046</c:v>
                </c:pt>
                <c:pt idx="63">
                  <c:v>2047</c:v>
                </c:pt>
                <c:pt idx="64">
                  <c:v>2048</c:v>
                </c:pt>
                <c:pt idx="65">
                  <c:v>2049</c:v>
                </c:pt>
                <c:pt idx="66">
                  <c:v>2050</c:v>
                </c:pt>
                <c:pt idx="67">
                  <c:v>2051</c:v>
                </c:pt>
                <c:pt idx="68">
                  <c:v>2052</c:v>
                </c:pt>
                <c:pt idx="69">
                  <c:v>2053</c:v>
                </c:pt>
                <c:pt idx="70">
                  <c:v>2054</c:v>
                </c:pt>
                <c:pt idx="71">
                  <c:v>2055</c:v>
                </c:pt>
                <c:pt idx="72">
                  <c:v>2056</c:v>
                </c:pt>
                <c:pt idx="73">
                  <c:v>2057</c:v>
                </c:pt>
                <c:pt idx="74">
                  <c:v>2058</c:v>
                </c:pt>
                <c:pt idx="75">
                  <c:v>2059</c:v>
                </c:pt>
                <c:pt idx="76">
                  <c:v>2060</c:v>
                </c:pt>
                <c:pt idx="77">
                  <c:v>2061</c:v>
                </c:pt>
                <c:pt idx="78">
                  <c:v>2062</c:v>
                </c:pt>
                <c:pt idx="79">
                  <c:v>2063</c:v>
                </c:pt>
                <c:pt idx="80">
                  <c:v>2064</c:v>
                </c:pt>
                <c:pt idx="81">
                  <c:v>2065</c:v>
                </c:pt>
                <c:pt idx="82">
                  <c:v>2066</c:v>
                </c:pt>
                <c:pt idx="83">
                  <c:v>2067</c:v>
                </c:pt>
                <c:pt idx="84">
                  <c:v>2068</c:v>
                </c:pt>
                <c:pt idx="85">
                  <c:v>2069</c:v>
                </c:pt>
                <c:pt idx="86">
                  <c:v>2070</c:v>
                </c:pt>
                <c:pt idx="87">
                  <c:v>2071</c:v>
                </c:pt>
                <c:pt idx="88">
                  <c:v>2072</c:v>
                </c:pt>
                <c:pt idx="89">
                  <c:v>2073</c:v>
                </c:pt>
                <c:pt idx="90">
                  <c:v>2074</c:v>
                </c:pt>
                <c:pt idx="91">
                  <c:v>2075</c:v>
                </c:pt>
                <c:pt idx="92">
                  <c:v>2076</c:v>
                </c:pt>
                <c:pt idx="93">
                  <c:v>2077</c:v>
                </c:pt>
                <c:pt idx="94">
                  <c:v>2078</c:v>
                </c:pt>
                <c:pt idx="95">
                  <c:v>2079</c:v>
                </c:pt>
                <c:pt idx="96">
                  <c:v>2080</c:v>
                </c:pt>
                <c:pt idx="97">
                  <c:v>2081</c:v>
                </c:pt>
                <c:pt idx="98">
                  <c:v>2082</c:v>
                </c:pt>
                <c:pt idx="99">
                  <c:v>2083</c:v>
                </c:pt>
                <c:pt idx="100">
                  <c:v>2084</c:v>
                </c:pt>
                <c:pt idx="101">
                  <c:v>2085</c:v>
                </c:pt>
                <c:pt idx="102">
                  <c:v>2086</c:v>
                </c:pt>
                <c:pt idx="103">
                  <c:v>2087</c:v>
                </c:pt>
                <c:pt idx="104">
                  <c:v>2088</c:v>
                </c:pt>
                <c:pt idx="105">
                  <c:v>2089</c:v>
                </c:pt>
                <c:pt idx="106">
                  <c:v>2090</c:v>
                </c:pt>
                <c:pt idx="107">
                  <c:v>2091</c:v>
                </c:pt>
                <c:pt idx="108">
                  <c:v>2092</c:v>
                </c:pt>
                <c:pt idx="109">
                  <c:v>2093</c:v>
                </c:pt>
                <c:pt idx="110">
                  <c:v>2094</c:v>
                </c:pt>
                <c:pt idx="111">
                  <c:v>2095</c:v>
                </c:pt>
                <c:pt idx="112">
                  <c:v>2096</c:v>
                </c:pt>
                <c:pt idx="113">
                  <c:v>2097</c:v>
                </c:pt>
                <c:pt idx="114">
                  <c:v>2098</c:v>
                </c:pt>
                <c:pt idx="115">
                  <c:v>2099</c:v>
                </c:pt>
                <c:pt idx="116">
                  <c:v>2100</c:v>
                </c:pt>
                <c:pt idx="117">
                  <c:v>2101</c:v>
                </c:pt>
                <c:pt idx="118">
                  <c:v>2102</c:v>
                </c:pt>
                <c:pt idx="119">
                  <c:v>2103</c:v>
                </c:pt>
                <c:pt idx="120">
                  <c:v>2104</c:v>
                </c:pt>
                <c:pt idx="121">
                  <c:v>2105</c:v>
                </c:pt>
                <c:pt idx="122">
                  <c:v>2106</c:v>
                </c:pt>
                <c:pt idx="123">
                  <c:v>2107</c:v>
                </c:pt>
                <c:pt idx="124">
                  <c:v>2108</c:v>
                </c:pt>
                <c:pt idx="125">
                  <c:v>2109</c:v>
                </c:pt>
                <c:pt idx="126">
                  <c:v>2110</c:v>
                </c:pt>
                <c:pt idx="127">
                  <c:v>2111</c:v>
                </c:pt>
                <c:pt idx="128">
                  <c:v>2112</c:v>
                </c:pt>
                <c:pt idx="129">
                  <c:v>2113</c:v>
                </c:pt>
                <c:pt idx="130">
                  <c:v>2114</c:v>
                </c:pt>
                <c:pt idx="131">
                  <c:v>2115</c:v>
                </c:pt>
                <c:pt idx="132">
                  <c:v>2116</c:v>
                </c:pt>
                <c:pt idx="133">
                  <c:v>2117</c:v>
                </c:pt>
                <c:pt idx="134">
                  <c:v>2118</c:v>
                </c:pt>
                <c:pt idx="135">
                  <c:v>2119</c:v>
                </c:pt>
                <c:pt idx="136">
                  <c:v>2120</c:v>
                </c:pt>
                <c:pt idx="137">
                  <c:v>2121</c:v>
                </c:pt>
                <c:pt idx="138">
                  <c:v>2122</c:v>
                </c:pt>
                <c:pt idx="139">
                  <c:v>2123</c:v>
                </c:pt>
                <c:pt idx="140">
                  <c:v>2124</c:v>
                </c:pt>
                <c:pt idx="141">
                  <c:v>2125</c:v>
                </c:pt>
                <c:pt idx="142">
                  <c:v>2126</c:v>
                </c:pt>
                <c:pt idx="143">
                  <c:v>2127</c:v>
                </c:pt>
                <c:pt idx="144">
                  <c:v>2128</c:v>
                </c:pt>
                <c:pt idx="145">
                  <c:v>2129</c:v>
                </c:pt>
                <c:pt idx="146">
                  <c:v>2130</c:v>
                </c:pt>
                <c:pt idx="147">
                  <c:v>2131</c:v>
                </c:pt>
                <c:pt idx="148">
                  <c:v>2132</c:v>
                </c:pt>
                <c:pt idx="149">
                  <c:v>2133</c:v>
                </c:pt>
                <c:pt idx="150">
                  <c:v>2134</c:v>
                </c:pt>
                <c:pt idx="151">
                  <c:v>2135</c:v>
                </c:pt>
                <c:pt idx="152">
                  <c:v>2136</c:v>
                </c:pt>
                <c:pt idx="153">
                  <c:v>2137</c:v>
                </c:pt>
                <c:pt idx="154">
                  <c:v>2138</c:v>
                </c:pt>
                <c:pt idx="155">
                  <c:v>2139</c:v>
                </c:pt>
                <c:pt idx="156">
                  <c:v>2140</c:v>
                </c:pt>
                <c:pt idx="157">
                  <c:v>2141</c:v>
                </c:pt>
                <c:pt idx="158">
                  <c:v>2142</c:v>
                </c:pt>
                <c:pt idx="159">
                  <c:v>2143</c:v>
                </c:pt>
                <c:pt idx="160">
                  <c:v>2144</c:v>
                </c:pt>
                <c:pt idx="161">
                  <c:v>2145</c:v>
                </c:pt>
                <c:pt idx="162">
                  <c:v>2146</c:v>
                </c:pt>
                <c:pt idx="163">
                  <c:v>2147</c:v>
                </c:pt>
                <c:pt idx="164">
                  <c:v>2148</c:v>
                </c:pt>
                <c:pt idx="165">
                  <c:v>2149</c:v>
                </c:pt>
                <c:pt idx="166">
                  <c:v>2150</c:v>
                </c:pt>
                <c:pt idx="167">
                  <c:v>2151</c:v>
                </c:pt>
                <c:pt idx="168">
                  <c:v>2152</c:v>
                </c:pt>
                <c:pt idx="169">
                  <c:v>2153</c:v>
                </c:pt>
                <c:pt idx="170">
                  <c:v>2154</c:v>
                </c:pt>
                <c:pt idx="171">
                  <c:v>2155</c:v>
                </c:pt>
                <c:pt idx="172">
                  <c:v>2156</c:v>
                </c:pt>
                <c:pt idx="173">
                  <c:v>2157</c:v>
                </c:pt>
                <c:pt idx="174">
                  <c:v>2158</c:v>
                </c:pt>
                <c:pt idx="175">
                  <c:v>2159</c:v>
                </c:pt>
                <c:pt idx="176">
                  <c:v>2160</c:v>
                </c:pt>
                <c:pt idx="177">
                  <c:v>2161</c:v>
                </c:pt>
                <c:pt idx="178">
                  <c:v>2162</c:v>
                </c:pt>
                <c:pt idx="179">
                  <c:v>2163</c:v>
                </c:pt>
                <c:pt idx="180">
                  <c:v>2164</c:v>
                </c:pt>
                <c:pt idx="181">
                  <c:v>2165</c:v>
                </c:pt>
                <c:pt idx="182">
                  <c:v>2166</c:v>
                </c:pt>
                <c:pt idx="183">
                  <c:v>2167</c:v>
                </c:pt>
                <c:pt idx="184">
                  <c:v>2168</c:v>
                </c:pt>
                <c:pt idx="185">
                  <c:v>2169</c:v>
                </c:pt>
                <c:pt idx="186">
                  <c:v>2170</c:v>
                </c:pt>
                <c:pt idx="187">
                  <c:v>2171</c:v>
                </c:pt>
                <c:pt idx="188">
                  <c:v>2172</c:v>
                </c:pt>
                <c:pt idx="189">
                  <c:v>2173</c:v>
                </c:pt>
                <c:pt idx="190">
                  <c:v>2174</c:v>
                </c:pt>
                <c:pt idx="191">
                  <c:v>2175</c:v>
                </c:pt>
                <c:pt idx="192">
                  <c:v>2176</c:v>
                </c:pt>
                <c:pt idx="193">
                  <c:v>2177</c:v>
                </c:pt>
                <c:pt idx="194">
                  <c:v>2178</c:v>
                </c:pt>
                <c:pt idx="195">
                  <c:v>2179</c:v>
                </c:pt>
                <c:pt idx="196">
                  <c:v>2180</c:v>
                </c:pt>
                <c:pt idx="197">
                  <c:v>2181</c:v>
                </c:pt>
                <c:pt idx="198">
                  <c:v>2182</c:v>
                </c:pt>
                <c:pt idx="199">
                  <c:v>2183</c:v>
                </c:pt>
                <c:pt idx="200">
                  <c:v>2184</c:v>
                </c:pt>
                <c:pt idx="201">
                  <c:v>2185</c:v>
                </c:pt>
                <c:pt idx="202">
                  <c:v>2186</c:v>
                </c:pt>
                <c:pt idx="203">
                  <c:v>2187</c:v>
                </c:pt>
                <c:pt idx="204">
                  <c:v>2188</c:v>
                </c:pt>
                <c:pt idx="205">
                  <c:v>2189</c:v>
                </c:pt>
                <c:pt idx="206">
                  <c:v>2190</c:v>
                </c:pt>
                <c:pt idx="207">
                  <c:v>2191</c:v>
                </c:pt>
                <c:pt idx="208">
                  <c:v>2192</c:v>
                </c:pt>
                <c:pt idx="209">
                  <c:v>2193</c:v>
                </c:pt>
                <c:pt idx="210">
                  <c:v>2194</c:v>
                </c:pt>
                <c:pt idx="211">
                  <c:v>2195</c:v>
                </c:pt>
                <c:pt idx="212">
                  <c:v>2196</c:v>
                </c:pt>
                <c:pt idx="213">
                  <c:v>2197</c:v>
                </c:pt>
                <c:pt idx="214">
                  <c:v>2198</c:v>
                </c:pt>
                <c:pt idx="215">
                  <c:v>2199</c:v>
                </c:pt>
                <c:pt idx="216">
                  <c:v>2200</c:v>
                </c:pt>
              </c:numCache>
            </c:numRef>
          </c:cat>
          <c:val>
            <c:numRef>
              <c:f>'FMEM- metal Film Resistor'!$G$11:$G$127</c:f>
              <c:numCache>
                <c:formatCode>General</c:formatCode>
                <c:ptCount val="117"/>
                <c:pt idx="0">
                  <c:v>0.99613697187500005</c:v>
                </c:pt>
                <c:pt idx="1">
                  <c:v>0.99527394375</c:v>
                </c:pt>
                <c:pt idx="2">
                  <c:v>0.99441091562499995</c:v>
                </c:pt>
                <c:pt idx="3">
                  <c:v>0.9935478875</c:v>
                </c:pt>
                <c:pt idx="4">
                  <c:v>0.99268485937499995</c:v>
                </c:pt>
                <c:pt idx="5">
                  <c:v>0.99182183125000001</c:v>
                </c:pt>
                <c:pt idx="6">
                  <c:v>0.99095880312500007</c:v>
                </c:pt>
                <c:pt idx="7">
                  <c:v>0.99009577500000001</c:v>
                </c:pt>
                <c:pt idx="8">
                  <c:v>0.98923274687499996</c:v>
                </c:pt>
                <c:pt idx="9">
                  <c:v>0.98836971875000001</c:v>
                </c:pt>
                <c:pt idx="10">
                  <c:v>0.98750669062499996</c:v>
                </c:pt>
                <c:pt idx="11">
                  <c:v>0.98664366250000002</c:v>
                </c:pt>
                <c:pt idx="12">
                  <c:v>0.98578063437500008</c:v>
                </c:pt>
                <c:pt idx="13">
                  <c:v>0.98491760625000002</c:v>
                </c:pt>
                <c:pt idx="14">
                  <c:v>0.98405457812499997</c:v>
                </c:pt>
                <c:pt idx="15">
                  <c:v>0.98319154999999991</c:v>
                </c:pt>
                <c:pt idx="16">
                  <c:v>0.98232852187499997</c:v>
                </c:pt>
                <c:pt idx="17">
                  <c:v>0.98146549375000003</c:v>
                </c:pt>
                <c:pt idx="18">
                  <c:v>0.98060246562499997</c:v>
                </c:pt>
                <c:pt idx="19">
                  <c:v>0.97973943750000003</c:v>
                </c:pt>
                <c:pt idx="20">
                  <c:v>0.97887640937499998</c:v>
                </c:pt>
                <c:pt idx="21">
                  <c:v>0.97801338124999992</c:v>
                </c:pt>
                <c:pt idx="22">
                  <c:v>0.97715035312499998</c:v>
                </c:pt>
                <c:pt idx="23">
                  <c:v>0.97628732500000004</c:v>
                </c:pt>
                <c:pt idx="24">
                  <c:v>0.97542429687499999</c:v>
                </c:pt>
                <c:pt idx="25">
                  <c:v>0.97456126875000004</c:v>
                </c:pt>
                <c:pt idx="26">
                  <c:v>0.97369824062499999</c:v>
                </c:pt>
                <c:pt idx="27">
                  <c:v>0.97283521249999994</c:v>
                </c:pt>
                <c:pt idx="28">
                  <c:v>0.97197218437499999</c:v>
                </c:pt>
                <c:pt idx="29">
                  <c:v>0.97110915625000005</c:v>
                </c:pt>
                <c:pt idx="30">
                  <c:v>0.970246128125</c:v>
                </c:pt>
                <c:pt idx="31">
                  <c:v>0.96938310000000005</c:v>
                </c:pt>
                <c:pt idx="32">
                  <c:v>0.968520071875</c:v>
                </c:pt>
                <c:pt idx="33">
                  <c:v>0.96765704374999995</c:v>
                </c:pt>
                <c:pt idx="34">
                  <c:v>0.966794015625</c:v>
                </c:pt>
                <c:pt idx="35">
                  <c:v>0.96593098750000006</c:v>
                </c:pt>
                <c:pt idx="36">
                  <c:v>0.96506795937500001</c:v>
                </c:pt>
                <c:pt idx="37">
                  <c:v>0.96420493125000006</c:v>
                </c:pt>
                <c:pt idx="38">
                  <c:v>0.96334190312500001</c:v>
                </c:pt>
                <c:pt idx="39">
                  <c:v>0.96247887499999996</c:v>
                </c:pt>
                <c:pt idx="40">
                  <c:v>0.96161584687500001</c:v>
                </c:pt>
                <c:pt idx="41">
                  <c:v>0.96075281875000007</c:v>
                </c:pt>
                <c:pt idx="42">
                  <c:v>0.95988979062500002</c:v>
                </c:pt>
                <c:pt idx="43">
                  <c:v>0.95902676249999996</c:v>
                </c:pt>
                <c:pt idx="44">
                  <c:v>0.95816373437500002</c:v>
                </c:pt>
                <c:pt idx="45">
                  <c:v>0.95730070624999997</c:v>
                </c:pt>
                <c:pt idx="46">
                  <c:v>0.95643767812500002</c:v>
                </c:pt>
                <c:pt idx="47">
                  <c:v>0.95557464999999997</c:v>
                </c:pt>
                <c:pt idx="48">
                  <c:v>0.95471162187500003</c:v>
                </c:pt>
                <c:pt idx="49">
                  <c:v>0.95384859374999997</c:v>
                </c:pt>
                <c:pt idx="50">
                  <c:v>0.95298556562499992</c:v>
                </c:pt>
                <c:pt idx="51">
                  <c:v>0.95212253749999998</c:v>
                </c:pt>
                <c:pt idx="52">
                  <c:v>0.95125950937500003</c:v>
                </c:pt>
                <c:pt idx="53">
                  <c:v>0.95039648124999998</c:v>
                </c:pt>
                <c:pt idx="54">
                  <c:v>0.94953345312500004</c:v>
                </c:pt>
                <c:pt idx="55">
                  <c:v>0.94867042499999998</c:v>
                </c:pt>
                <c:pt idx="56">
                  <c:v>0.94780739687499993</c:v>
                </c:pt>
                <c:pt idx="57">
                  <c:v>0.94694436874999999</c:v>
                </c:pt>
                <c:pt idx="58">
                  <c:v>0.94608134062500004</c:v>
                </c:pt>
                <c:pt idx="59">
                  <c:v>0.94521831249999999</c:v>
                </c:pt>
                <c:pt idx="60">
                  <c:v>0.94435528437500005</c:v>
                </c:pt>
                <c:pt idx="61">
                  <c:v>0.94349225624999999</c:v>
                </c:pt>
                <c:pt idx="62">
                  <c:v>0.94262922812499994</c:v>
                </c:pt>
                <c:pt idx="63">
                  <c:v>0.9417662</c:v>
                </c:pt>
                <c:pt idx="64">
                  <c:v>0.94090317187500006</c:v>
                </c:pt>
                <c:pt idx="65">
                  <c:v>0.94004014375</c:v>
                </c:pt>
                <c:pt idx="66">
                  <c:v>0.93917711562500006</c:v>
                </c:pt>
                <c:pt idx="67">
                  <c:v>0.9383140875</c:v>
                </c:pt>
                <c:pt idx="68">
                  <c:v>0.93745105937499995</c:v>
                </c:pt>
                <c:pt idx="69">
                  <c:v>0.93658803125000001</c:v>
                </c:pt>
                <c:pt idx="70">
                  <c:v>0.93572500312500007</c:v>
                </c:pt>
                <c:pt idx="71">
                  <c:v>0.93486197500000001</c:v>
                </c:pt>
                <c:pt idx="72">
                  <c:v>0.93399894687499996</c:v>
                </c:pt>
                <c:pt idx="73">
                  <c:v>0.93313591875000002</c:v>
                </c:pt>
                <c:pt idx="74">
                  <c:v>0.93227289062499996</c:v>
                </c:pt>
                <c:pt idx="75">
                  <c:v>0.93140986250000002</c:v>
                </c:pt>
                <c:pt idx="76">
                  <c:v>0.93054683437499996</c:v>
                </c:pt>
                <c:pt idx="77">
                  <c:v>0.92968380625000002</c:v>
                </c:pt>
                <c:pt idx="78">
                  <c:v>0.92882077812500008</c:v>
                </c:pt>
                <c:pt idx="79">
                  <c:v>0.92795774999999991</c:v>
                </c:pt>
                <c:pt idx="80">
                  <c:v>0.92709472187499997</c:v>
                </c:pt>
                <c:pt idx="81">
                  <c:v>0.92623169375000003</c:v>
                </c:pt>
                <c:pt idx="82">
                  <c:v>0.92536866562499998</c:v>
                </c:pt>
                <c:pt idx="83">
                  <c:v>0.92450563750000003</c:v>
                </c:pt>
                <c:pt idx="84">
                  <c:v>0.92364260937499998</c:v>
                </c:pt>
                <c:pt idx="85">
                  <c:v>0.92277958124999993</c:v>
                </c:pt>
                <c:pt idx="86">
                  <c:v>0.92191655312499998</c:v>
                </c:pt>
                <c:pt idx="87">
                  <c:v>0.92105352500000004</c:v>
                </c:pt>
                <c:pt idx="88">
                  <c:v>0.92019049687499999</c:v>
                </c:pt>
                <c:pt idx="89">
                  <c:v>0.91932746875000004</c:v>
                </c:pt>
                <c:pt idx="90">
                  <c:v>0.9184644406250001</c:v>
                </c:pt>
                <c:pt idx="91">
                  <c:v>0.91760141249999994</c:v>
                </c:pt>
                <c:pt idx="92">
                  <c:v>0.91673838437499999</c:v>
                </c:pt>
                <c:pt idx="93">
                  <c:v>0.91587535625000005</c:v>
                </c:pt>
                <c:pt idx="94">
                  <c:v>0.915012328125</c:v>
                </c:pt>
                <c:pt idx="95">
                  <c:v>0.91414930000000005</c:v>
                </c:pt>
                <c:pt idx="96">
                  <c:v>0.913286271875</c:v>
                </c:pt>
                <c:pt idx="97">
                  <c:v>0.91242324374999995</c:v>
                </c:pt>
                <c:pt idx="98">
                  <c:v>0.911560215625</c:v>
                </c:pt>
                <c:pt idx="99">
                  <c:v>0.91069718750000006</c:v>
                </c:pt>
                <c:pt idx="100">
                  <c:v>0.90983415937500001</c:v>
                </c:pt>
                <c:pt idx="101">
                  <c:v>0.90897113125000006</c:v>
                </c:pt>
                <c:pt idx="102">
                  <c:v>0.90810810312500001</c:v>
                </c:pt>
                <c:pt idx="103">
                  <c:v>0.90724507499999996</c:v>
                </c:pt>
                <c:pt idx="104">
                  <c:v>0.90638204687500001</c:v>
                </c:pt>
                <c:pt idx="105">
                  <c:v>0.90551901874999996</c:v>
                </c:pt>
                <c:pt idx="106">
                  <c:v>0.90465599062500002</c:v>
                </c:pt>
                <c:pt idx="107">
                  <c:v>0.90379296250000007</c:v>
                </c:pt>
                <c:pt idx="108">
                  <c:v>0.90292993437499991</c:v>
                </c:pt>
                <c:pt idx="109">
                  <c:v>0.90206690624999997</c:v>
                </c:pt>
                <c:pt idx="110">
                  <c:v>0.90120387812500002</c:v>
                </c:pt>
                <c:pt idx="111">
                  <c:v>0.90034084999999997</c:v>
                </c:pt>
                <c:pt idx="112">
                  <c:v>0.89947782187500003</c:v>
                </c:pt>
                <c:pt idx="113">
                  <c:v>0.89861479374999997</c:v>
                </c:pt>
                <c:pt idx="114">
                  <c:v>0.89775176562499992</c:v>
                </c:pt>
                <c:pt idx="115">
                  <c:v>0.89688873749999998</c:v>
                </c:pt>
                <c:pt idx="116">
                  <c:v>0.89602570937500003</c:v>
                </c:pt>
              </c:numCache>
            </c:numRef>
          </c:val>
          <c:smooth val="0"/>
        </c:ser>
        <c:ser>
          <c:idx val="0"/>
          <c:order val="1"/>
          <c:tx>
            <c:strRef>
              <c:f>'FMEM- metal Film Resistor'!$H$10</c:f>
              <c:strCache>
                <c:ptCount val="1"/>
                <c:pt idx="0">
                  <c:v>Op Design Margin</c:v>
                </c:pt>
              </c:strCache>
            </c:strRef>
          </c:tx>
          <c:spPr>
            <a:ln w="28575" cap="rnd">
              <a:solidFill>
                <a:srgbClr val="FF0000"/>
              </a:solidFill>
              <a:round/>
            </a:ln>
            <a:effectLst/>
          </c:spPr>
          <c:marker>
            <c:symbol val="none"/>
          </c:marker>
          <c:cat>
            <c:numRef>
              <c:f>'FMEM- metal Film Resistor'!$E$11:$E$227</c:f>
              <c:numCache>
                <c:formatCode>General</c:formatCode>
                <c:ptCount val="217"/>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pt idx="36">
                  <c:v>2020</c:v>
                </c:pt>
                <c:pt idx="37">
                  <c:v>2021</c:v>
                </c:pt>
                <c:pt idx="38">
                  <c:v>2022</c:v>
                </c:pt>
                <c:pt idx="39">
                  <c:v>2023</c:v>
                </c:pt>
                <c:pt idx="40">
                  <c:v>2024</c:v>
                </c:pt>
                <c:pt idx="41">
                  <c:v>2025</c:v>
                </c:pt>
                <c:pt idx="42">
                  <c:v>2026</c:v>
                </c:pt>
                <c:pt idx="43">
                  <c:v>2027</c:v>
                </c:pt>
                <c:pt idx="44">
                  <c:v>2028</c:v>
                </c:pt>
                <c:pt idx="45">
                  <c:v>2029</c:v>
                </c:pt>
                <c:pt idx="46">
                  <c:v>2030</c:v>
                </c:pt>
                <c:pt idx="47">
                  <c:v>2031</c:v>
                </c:pt>
                <c:pt idx="48">
                  <c:v>2032</c:v>
                </c:pt>
                <c:pt idx="49">
                  <c:v>2033</c:v>
                </c:pt>
                <c:pt idx="50">
                  <c:v>2034</c:v>
                </c:pt>
                <c:pt idx="51">
                  <c:v>2035</c:v>
                </c:pt>
                <c:pt idx="52">
                  <c:v>2036</c:v>
                </c:pt>
                <c:pt idx="53">
                  <c:v>2037</c:v>
                </c:pt>
                <c:pt idx="54">
                  <c:v>2038</c:v>
                </c:pt>
                <c:pt idx="55">
                  <c:v>2039</c:v>
                </c:pt>
                <c:pt idx="56">
                  <c:v>2040</c:v>
                </c:pt>
                <c:pt idx="57">
                  <c:v>2041</c:v>
                </c:pt>
                <c:pt idx="58">
                  <c:v>2042</c:v>
                </c:pt>
                <c:pt idx="59">
                  <c:v>2043</c:v>
                </c:pt>
                <c:pt idx="60">
                  <c:v>2044</c:v>
                </c:pt>
                <c:pt idx="61">
                  <c:v>2045</c:v>
                </c:pt>
                <c:pt idx="62">
                  <c:v>2046</c:v>
                </c:pt>
                <c:pt idx="63">
                  <c:v>2047</c:v>
                </c:pt>
                <c:pt idx="64">
                  <c:v>2048</c:v>
                </c:pt>
                <c:pt idx="65">
                  <c:v>2049</c:v>
                </c:pt>
                <c:pt idx="66">
                  <c:v>2050</c:v>
                </c:pt>
                <c:pt idx="67">
                  <c:v>2051</c:v>
                </c:pt>
                <c:pt idx="68">
                  <c:v>2052</c:v>
                </c:pt>
                <c:pt idx="69">
                  <c:v>2053</c:v>
                </c:pt>
                <c:pt idx="70">
                  <c:v>2054</c:v>
                </c:pt>
                <c:pt idx="71">
                  <c:v>2055</c:v>
                </c:pt>
                <c:pt idx="72">
                  <c:v>2056</c:v>
                </c:pt>
                <c:pt idx="73">
                  <c:v>2057</c:v>
                </c:pt>
                <c:pt idx="74">
                  <c:v>2058</c:v>
                </c:pt>
                <c:pt idx="75">
                  <c:v>2059</c:v>
                </c:pt>
                <c:pt idx="76">
                  <c:v>2060</c:v>
                </c:pt>
                <c:pt idx="77">
                  <c:v>2061</c:v>
                </c:pt>
                <c:pt idx="78">
                  <c:v>2062</c:v>
                </c:pt>
                <c:pt idx="79">
                  <c:v>2063</c:v>
                </c:pt>
                <c:pt idx="80">
                  <c:v>2064</c:v>
                </c:pt>
                <c:pt idx="81">
                  <c:v>2065</c:v>
                </c:pt>
                <c:pt idx="82">
                  <c:v>2066</c:v>
                </c:pt>
                <c:pt idx="83">
                  <c:v>2067</c:v>
                </c:pt>
                <c:pt idx="84">
                  <c:v>2068</c:v>
                </c:pt>
                <c:pt idx="85">
                  <c:v>2069</c:v>
                </c:pt>
                <c:pt idx="86">
                  <c:v>2070</c:v>
                </c:pt>
                <c:pt idx="87">
                  <c:v>2071</c:v>
                </c:pt>
                <c:pt idx="88">
                  <c:v>2072</c:v>
                </c:pt>
                <c:pt idx="89">
                  <c:v>2073</c:v>
                </c:pt>
                <c:pt idx="90">
                  <c:v>2074</c:v>
                </c:pt>
                <c:pt idx="91">
                  <c:v>2075</c:v>
                </c:pt>
                <c:pt idx="92">
                  <c:v>2076</c:v>
                </c:pt>
                <c:pt idx="93">
                  <c:v>2077</c:v>
                </c:pt>
                <c:pt idx="94">
                  <c:v>2078</c:v>
                </c:pt>
                <c:pt idx="95">
                  <c:v>2079</c:v>
                </c:pt>
                <c:pt idx="96">
                  <c:v>2080</c:v>
                </c:pt>
                <c:pt idx="97">
                  <c:v>2081</c:v>
                </c:pt>
                <c:pt idx="98">
                  <c:v>2082</c:v>
                </c:pt>
                <c:pt idx="99">
                  <c:v>2083</c:v>
                </c:pt>
                <c:pt idx="100">
                  <c:v>2084</c:v>
                </c:pt>
                <c:pt idx="101">
                  <c:v>2085</c:v>
                </c:pt>
                <c:pt idx="102">
                  <c:v>2086</c:v>
                </c:pt>
                <c:pt idx="103">
                  <c:v>2087</c:v>
                </c:pt>
                <c:pt idx="104">
                  <c:v>2088</c:v>
                </c:pt>
                <c:pt idx="105">
                  <c:v>2089</c:v>
                </c:pt>
                <c:pt idx="106">
                  <c:v>2090</c:v>
                </c:pt>
                <c:pt idx="107">
                  <c:v>2091</c:v>
                </c:pt>
                <c:pt idx="108">
                  <c:v>2092</c:v>
                </c:pt>
                <c:pt idx="109">
                  <c:v>2093</c:v>
                </c:pt>
                <c:pt idx="110">
                  <c:v>2094</c:v>
                </c:pt>
                <c:pt idx="111">
                  <c:v>2095</c:v>
                </c:pt>
                <c:pt idx="112">
                  <c:v>2096</c:v>
                </c:pt>
                <c:pt idx="113">
                  <c:v>2097</c:v>
                </c:pt>
                <c:pt idx="114">
                  <c:v>2098</c:v>
                </c:pt>
                <c:pt idx="115">
                  <c:v>2099</c:v>
                </c:pt>
                <c:pt idx="116">
                  <c:v>2100</c:v>
                </c:pt>
                <c:pt idx="117">
                  <c:v>2101</c:v>
                </c:pt>
                <c:pt idx="118">
                  <c:v>2102</c:v>
                </c:pt>
                <c:pt idx="119">
                  <c:v>2103</c:v>
                </c:pt>
                <c:pt idx="120">
                  <c:v>2104</c:v>
                </c:pt>
                <c:pt idx="121">
                  <c:v>2105</c:v>
                </c:pt>
                <c:pt idx="122">
                  <c:v>2106</c:v>
                </c:pt>
                <c:pt idx="123">
                  <c:v>2107</c:v>
                </c:pt>
                <c:pt idx="124">
                  <c:v>2108</c:v>
                </c:pt>
                <c:pt idx="125">
                  <c:v>2109</c:v>
                </c:pt>
                <c:pt idx="126">
                  <c:v>2110</c:v>
                </c:pt>
                <c:pt idx="127">
                  <c:v>2111</c:v>
                </c:pt>
                <c:pt idx="128">
                  <c:v>2112</c:v>
                </c:pt>
                <c:pt idx="129">
                  <c:v>2113</c:v>
                </c:pt>
                <c:pt idx="130">
                  <c:v>2114</c:v>
                </c:pt>
                <c:pt idx="131">
                  <c:v>2115</c:v>
                </c:pt>
                <c:pt idx="132">
                  <c:v>2116</c:v>
                </c:pt>
                <c:pt idx="133">
                  <c:v>2117</c:v>
                </c:pt>
                <c:pt idx="134">
                  <c:v>2118</c:v>
                </c:pt>
                <c:pt idx="135">
                  <c:v>2119</c:v>
                </c:pt>
                <c:pt idx="136">
                  <c:v>2120</c:v>
                </c:pt>
                <c:pt idx="137">
                  <c:v>2121</c:v>
                </c:pt>
                <c:pt idx="138">
                  <c:v>2122</c:v>
                </c:pt>
                <c:pt idx="139">
                  <c:v>2123</c:v>
                </c:pt>
                <c:pt idx="140">
                  <c:v>2124</c:v>
                </c:pt>
                <c:pt idx="141">
                  <c:v>2125</c:v>
                </c:pt>
                <c:pt idx="142">
                  <c:v>2126</c:v>
                </c:pt>
                <c:pt idx="143">
                  <c:v>2127</c:v>
                </c:pt>
                <c:pt idx="144">
                  <c:v>2128</c:v>
                </c:pt>
                <c:pt idx="145">
                  <c:v>2129</c:v>
                </c:pt>
                <c:pt idx="146">
                  <c:v>2130</c:v>
                </c:pt>
                <c:pt idx="147">
                  <c:v>2131</c:v>
                </c:pt>
                <c:pt idx="148">
                  <c:v>2132</c:v>
                </c:pt>
                <c:pt idx="149">
                  <c:v>2133</c:v>
                </c:pt>
                <c:pt idx="150">
                  <c:v>2134</c:v>
                </c:pt>
                <c:pt idx="151">
                  <c:v>2135</c:v>
                </c:pt>
                <c:pt idx="152">
                  <c:v>2136</c:v>
                </c:pt>
                <c:pt idx="153">
                  <c:v>2137</c:v>
                </c:pt>
                <c:pt idx="154">
                  <c:v>2138</c:v>
                </c:pt>
                <c:pt idx="155">
                  <c:v>2139</c:v>
                </c:pt>
                <c:pt idx="156">
                  <c:v>2140</c:v>
                </c:pt>
                <c:pt idx="157">
                  <c:v>2141</c:v>
                </c:pt>
                <c:pt idx="158">
                  <c:v>2142</c:v>
                </c:pt>
                <c:pt idx="159">
                  <c:v>2143</c:v>
                </c:pt>
                <c:pt idx="160">
                  <c:v>2144</c:v>
                </c:pt>
                <c:pt idx="161">
                  <c:v>2145</c:v>
                </c:pt>
                <c:pt idx="162">
                  <c:v>2146</c:v>
                </c:pt>
                <c:pt idx="163">
                  <c:v>2147</c:v>
                </c:pt>
                <c:pt idx="164">
                  <c:v>2148</c:v>
                </c:pt>
                <c:pt idx="165">
                  <c:v>2149</c:v>
                </c:pt>
                <c:pt idx="166">
                  <c:v>2150</c:v>
                </c:pt>
                <c:pt idx="167">
                  <c:v>2151</c:v>
                </c:pt>
                <c:pt idx="168">
                  <c:v>2152</c:v>
                </c:pt>
                <c:pt idx="169">
                  <c:v>2153</c:v>
                </c:pt>
                <c:pt idx="170">
                  <c:v>2154</c:v>
                </c:pt>
                <c:pt idx="171">
                  <c:v>2155</c:v>
                </c:pt>
                <c:pt idx="172">
                  <c:v>2156</c:v>
                </c:pt>
                <c:pt idx="173">
                  <c:v>2157</c:v>
                </c:pt>
                <c:pt idx="174">
                  <c:v>2158</c:v>
                </c:pt>
                <c:pt idx="175">
                  <c:v>2159</c:v>
                </c:pt>
                <c:pt idx="176">
                  <c:v>2160</c:v>
                </c:pt>
                <c:pt idx="177">
                  <c:v>2161</c:v>
                </c:pt>
                <c:pt idx="178">
                  <c:v>2162</c:v>
                </c:pt>
                <c:pt idx="179">
                  <c:v>2163</c:v>
                </c:pt>
                <c:pt idx="180">
                  <c:v>2164</c:v>
                </c:pt>
                <c:pt idx="181">
                  <c:v>2165</c:v>
                </c:pt>
                <c:pt idx="182">
                  <c:v>2166</c:v>
                </c:pt>
                <c:pt idx="183">
                  <c:v>2167</c:v>
                </c:pt>
                <c:pt idx="184">
                  <c:v>2168</c:v>
                </c:pt>
                <c:pt idx="185">
                  <c:v>2169</c:v>
                </c:pt>
                <c:pt idx="186">
                  <c:v>2170</c:v>
                </c:pt>
                <c:pt idx="187">
                  <c:v>2171</c:v>
                </c:pt>
                <c:pt idx="188">
                  <c:v>2172</c:v>
                </c:pt>
                <c:pt idx="189">
                  <c:v>2173</c:v>
                </c:pt>
                <c:pt idx="190">
                  <c:v>2174</c:v>
                </c:pt>
                <c:pt idx="191">
                  <c:v>2175</c:v>
                </c:pt>
                <c:pt idx="192">
                  <c:v>2176</c:v>
                </c:pt>
                <c:pt idx="193">
                  <c:v>2177</c:v>
                </c:pt>
                <c:pt idx="194">
                  <c:v>2178</c:v>
                </c:pt>
                <c:pt idx="195">
                  <c:v>2179</c:v>
                </c:pt>
                <c:pt idx="196">
                  <c:v>2180</c:v>
                </c:pt>
                <c:pt idx="197">
                  <c:v>2181</c:v>
                </c:pt>
                <c:pt idx="198">
                  <c:v>2182</c:v>
                </c:pt>
                <c:pt idx="199">
                  <c:v>2183</c:v>
                </c:pt>
                <c:pt idx="200">
                  <c:v>2184</c:v>
                </c:pt>
                <c:pt idx="201">
                  <c:v>2185</c:v>
                </c:pt>
                <c:pt idx="202">
                  <c:v>2186</c:v>
                </c:pt>
                <c:pt idx="203">
                  <c:v>2187</c:v>
                </c:pt>
                <c:pt idx="204">
                  <c:v>2188</c:v>
                </c:pt>
                <c:pt idx="205">
                  <c:v>2189</c:v>
                </c:pt>
                <c:pt idx="206">
                  <c:v>2190</c:v>
                </c:pt>
                <c:pt idx="207">
                  <c:v>2191</c:v>
                </c:pt>
                <c:pt idx="208">
                  <c:v>2192</c:v>
                </c:pt>
                <c:pt idx="209">
                  <c:v>2193</c:v>
                </c:pt>
                <c:pt idx="210">
                  <c:v>2194</c:v>
                </c:pt>
                <c:pt idx="211">
                  <c:v>2195</c:v>
                </c:pt>
                <c:pt idx="212">
                  <c:v>2196</c:v>
                </c:pt>
                <c:pt idx="213">
                  <c:v>2197</c:v>
                </c:pt>
                <c:pt idx="214">
                  <c:v>2198</c:v>
                </c:pt>
                <c:pt idx="215">
                  <c:v>2199</c:v>
                </c:pt>
                <c:pt idx="216">
                  <c:v>2200</c:v>
                </c:pt>
              </c:numCache>
            </c:numRef>
          </c:cat>
          <c:val>
            <c:numRef>
              <c:f>'FMEM- metal Film Resistor'!$H$11:$H$127</c:f>
              <c:numCache>
                <c:formatCode>General</c:formatCode>
                <c:ptCount val="117"/>
                <c:pt idx="0">
                  <c:v>0.95</c:v>
                </c:pt>
                <c:pt idx="1">
                  <c:v>0.95</c:v>
                </c:pt>
                <c:pt idx="2">
                  <c:v>0.95</c:v>
                </c:pt>
                <c:pt idx="3">
                  <c:v>0.95</c:v>
                </c:pt>
                <c:pt idx="4">
                  <c:v>0.95</c:v>
                </c:pt>
                <c:pt idx="5">
                  <c:v>0.95</c:v>
                </c:pt>
                <c:pt idx="6">
                  <c:v>0.95</c:v>
                </c:pt>
                <c:pt idx="7">
                  <c:v>0.95</c:v>
                </c:pt>
                <c:pt idx="8">
                  <c:v>0.95</c:v>
                </c:pt>
                <c:pt idx="9">
                  <c:v>0.95</c:v>
                </c:pt>
                <c:pt idx="10">
                  <c:v>0.95</c:v>
                </c:pt>
                <c:pt idx="11">
                  <c:v>0.95</c:v>
                </c:pt>
                <c:pt idx="12">
                  <c:v>0.95</c:v>
                </c:pt>
                <c:pt idx="13">
                  <c:v>0.95</c:v>
                </c:pt>
                <c:pt idx="14">
                  <c:v>0.95</c:v>
                </c:pt>
                <c:pt idx="15">
                  <c:v>0.95</c:v>
                </c:pt>
                <c:pt idx="16">
                  <c:v>0.95</c:v>
                </c:pt>
                <c:pt idx="17">
                  <c:v>0.95</c:v>
                </c:pt>
                <c:pt idx="18">
                  <c:v>0.95</c:v>
                </c:pt>
                <c:pt idx="19">
                  <c:v>0.95</c:v>
                </c:pt>
                <c:pt idx="20">
                  <c:v>0.95</c:v>
                </c:pt>
                <c:pt idx="21">
                  <c:v>0.95</c:v>
                </c:pt>
                <c:pt idx="22">
                  <c:v>0.95</c:v>
                </c:pt>
                <c:pt idx="23">
                  <c:v>0.95</c:v>
                </c:pt>
                <c:pt idx="24">
                  <c:v>0.95</c:v>
                </c:pt>
                <c:pt idx="25">
                  <c:v>0.95</c:v>
                </c:pt>
                <c:pt idx="26">
                  <c:v>0.95</c:v>
                </c:pt>
                <c:pt idx="27">
                  <c:v>0.95</c:v>
                </c:pt>
                <c:pt idx="28">
                  <c:v>0.95</c:v>
                </c:pt>
                <c:pt idx="29">
                  <c:v>0.95</c:v>
                </c:pt>
                <c:pt idx="30">
                  <c:v>0.95</c:v>
                </c:pt>
                <c:pt idx="31">
                  <c:v>0.95</c:v>
                </c:pt>
                <c:pt idx="32">
                  <c:v>0.95</c:v>
                </c:pt>
                <c:pt idx="33">
                  <c:v>0.95</c:v>
                </c:pt>
                <c:pt idx="34">
                  <c:v>0.95</c:v>
                </c:pt>
                <c:pt idx="35">
                  <c:v>0.95</c:v>
                </c:pt>
                <c:pt idx="36">
                  <c:v>0.95</c:v>
                </c:pt>
                <c:pt idx="37">
                  <c:v>0.95</c:v>
                </c:pt>
                <c:pt idx="38">
                  <c:v>0.95</c:v>
                </c:pt>
                <c:pt idx="39">
                  <c:v>0.95</c:v>
                </c:pt>
                <c:pt idx="40">
                  <c:v>0.95</c:v>
                </c:pt>
                <c:pt idx="41">
                  <c:v>0.95</c:v>
                </c:pt>
                <c:pt idx="42">
                  <c:v>0.95</c:v>
                </c:pt>
                <c:pt idx="43">
                  <c:v>0.95</c:v>
                </c:pt>
                <c:pt idx="44">
                  <c:v>0.95</c:v>
                </c:pt>
                <c:pt idx="45">
                  <c:v>0.95</c:v>
                </c:pt>
                <c:pt idx="46">
                  <c:v>0.95</c:v>
                </c:pt>
                <c:pt idx="47">
                  <c:v>0.95</c:v>
                </c:pt>
                <c:pt idx="48">
                  <c:v>0.95</c:v>
                </c:pt>
                <c:pt idx="49">
                  <c:v>0.95</c:v>
                </c:pt>
                <c:pt idx="50">
                  <c:v>0.95</c:v>
                </c:pt>
                <c:pt idx="51">
                  <c:v>0.95</c:v>
                </c:pt>
                <c:pt idx="52">
                  <c:v>0.95</c:v>
                </c:pt>
                <c:pt idx="53">
                  <c:v>0.95</c:v>
                </c:pt>
                <c:pt idx="54">
                  <c:v>0.95</c:v>
                </c:pt>
                <c:pt idx="55">
                  <c:v>0.95</c:v>
                </c:pt>
                <c:pt idx="56">
                  <c:v>0.95</c:v>
                </c:pt>
                <c:pt idx="57">
                  <c:v>0.95</c:v>
                </c:pt>
                <c:pt idx="58">
                  <c:v>0.95</c:v>
                </c:pt>
                <c:pt idx="59">
                  <c:v>0.95</c:v>
                </c:pt>
                <c:pt idx="60">
                  <c:v>0.95</c:v>
                </c:pt>
                <c:pt idx="61">
                  <c:v>0.95</c:v>
                </c:pt>
                <c:pt idx="62">
                  <c:v>0.95</c:v>
                </c:pt>
                <c:pt idx="63">
                  <c:v>0.95</c:v>
                </c:pt>
                <c:pt idx="64">
                  <c:v>0.95</c:v>
                </c:pt>
                <c:pt idx="65">
                  <c:v>0.95</c:v>
                </c:pt>
                <c:pt idx="66">
                  <c:v>0.95</c:v>
                </c:pt>
                <c:pt idx="67">
                  <c:v>0.95</c:v>
                </c:pt>
                <c:pt idx="68">
                  <c:v>0.95</c:v>
                </c:pt>
                <c:pt idx="69">
                  <c:v>0.95</c:v>
                </c:pt>
                <c:pt idx="70">
                  <c:v>0.95</c:v>
                </c:pt>
                <c:pt idx="71">
                  <c:v>0.95</c:v>
                </c:pt>
                <c:pt idx="72">
                  <c:v>0.95</c:v>
                </c:pt>
                <c:pt idx="73">
                  <c:v>0.95</c:v>
                </c:pt>
                <c:pt idx="74">
                  <c:v>0.95</c:v>
                </c:pt>
                <c:pt idx="75">
                  <c:v>0.95</c:v>
                </c:pt>
                <c:pt idx="76">
                  <c:v>0.95</c:v>
                </c:pt>
                <c:pt idx="77">
                  <c:v>0.95</c:v>
                </c:pt>
                <c:pt idx="78">
                  <c:v>0.95</c:v>
                </c:pt>
                <c:pt idx="79">
                  <c:v>0.95</c:v>
                </c:pt>
                <c:pt idx="80">
                  <c:v>0.95</c:v>
                </c:pt>
                <c:pt idx="81">
                  <c:v>0.95</c:v>
                </c:pt>
                <c:pt idx="82">
                  <c:v>0.95</c:v>
                </c:pt>
                <c:pt idx="83">
                  <c:v>0.95</c:v>
                </c:pt>
                <c:pt idx="84">
                  <c:v>0.95</c:v>
                </c:pt>
                <c:pt idx="85">
                  <c:v>0.95</c:v>
                </c:pt>
                <c:pt idx="86">
                  <c:v>0.95</c:v>
                </c:pt>
                <c:pt idx="87">
                  <c:v>0.95</c:v>
                </c:pt>
                <c:pt idx="88">
                  <c:v>0.95</c:v>
                </c:pt>
                <c:pt idx="89">
                  <c:v>0.95</c:v>
                </c:pt>
                <c:pt idx="90">
                  <c:v>0.95</c:v>
                </c:pt>
                <c:pt idx="91">
                  <c:v>0.95</c:v>
                </c:pt>
                <c:pt idx="92">
                  <c:v>0.95</c:v>
                </c:pt>
                <c:pt idx="93">
                  <c:v>0.95</c:v>
                </c:pt>
                <c:pt idx="94">
                  <c:v>0.95</c:v>
                </c:pt>
                <c:pt idx="95">
                  <c:v>0.95</c:v>
                </c:pt>
                <c:pt idx="96">
                  <c:v>0.95</c:v>
                </c:pt>
                <c:pt idx="97">
                  <c:v>0.95</c:v>
                </c:pt>
                <c:pt idx="98">
                  <c:v>0.95</c:v>
                </c:pt>
                <c:pt idx="99">
                  <c:v>0.95</c:v>
                </c:pt>
                <c:pt idx="100">
                  <c:v>0.95</c:v>
                </c:pt>
                <c:pt idx="101">
                  <c:v>0.95</c:v>
                </c:pt>
                <c:pt idx="102">
                  <c:v>0.95</c:v>
                </c:pt>
                <c:pt idx="103">
                  <c:v>0.95</c:v>
                </c:pt>
                <c:pt idx="104">
                  <c:v>0.95</c:v>
                </c:pt>
                <c:pt idx="105">
                  <c:v>0.95</c:v>
                </c:pt>
                <c:pt idx="106">
                  <c:v>0.95</c:v>
                </c:pt>
                <c:pt idx="107">
                  <c:v>0.95</c:v>
                </c:pt>
                <c:pt idx="108">
                  <c:v>0.95</c:v>
                </c:pt>
                <c:pt idx="109">
                  <c:v>0.95</c:v>
                </c:pt>
                <c:pt idx="110">
                  <c:v>0.95</c:v>
                </c:pt>
                <c:pt idx="111">
                  <c:v>0.95</c:v>
                </c:pt>
                <c:pt idx="112">
                  <c:v>0.95</c:v>
                </c:pt>
                <c:pt idx="113">
                  <c:v>0.95</c:v>
                </c:pt>
                <c:pt idx="114">
                  <c:v>0.95</c:v>
                </c:pt>
                <c:pt idx="115">
                  <c:v>0.95</c:v>
                </c:pt>
                <c:pt idx="116">
                  <c:v>0.95</c:v>
                </c:pt>
              </c:numCache>
            </c:numRef>
          </c:val>
          <c:smooth val="0"/>
        </c:ser>
        <c:dLbls>
          <c:showLegendKey val="0"/>
          <c:showVal val="0"/>
          <c:showCatName val="0"/>
          <c:showSerName val="0"/>
          <c:showPercent val="0"/>
          <c:showBubbleSize val="0"/>
        </c:dLbls>
        <c:smooth val="0"/>
        <c:axId val="317277720"/>
        <c:axId val="250356512"/>
      </c:lineChart>
      <c:catAx>
        <c:axId val="317277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250356512"/>
        <c:crosses val="autoZero"/>
        <c:auto val="1"/>
        <c:lblAlgn val="ctr"/>
        <c:lblOffset val="100"/>
        <c:noMultiLvlLbl val="0"/>
      </c:catAx>
      <c:valAx>
        <c:axId val="250356512"/>
        <c:scaling>
          <c:orientation val="minMax"/>
          <c:max val="1"/>
          <c:min val="0.8"/>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317277720"/>
        <c:crosses val="autoZero"/>
        <c:crossBetween val="between"/>
        <c:majorUnit val="1.0000000000000002E-2"/>
      </c:valAx>
      <c:spPr>
        <a:noFill/>
        <a:ln>
          <a:noFill/>
        </a:ln>
        <a:effectLst/>
      </c:spPr>
    </c:plotArea>
    <c:legend>
      <c:legendPos val="b"/>
      <c:layout>
        <c:manualLayout>
          <c:xMode val="edge"/>
          <c:yMode val="edge"/>
          <c:x val="0.21394917098777291"/>
          <c:y val="0.94106003872803567"/>
          <c:w val="0.72556955380577426"/>
          <c:h val="4.40316193352543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18</xdr:col>
      <xdr:colOff>602850</xdr:colOff>
      <xdr:row>30</xdr:row>
      <xdr:rowOff>126694</xdr:rowOff>
    </xdr:from>
    <xdr:to>
      <xdr:col>22</xdr:col>
      <xdr:colOff>350417</xdr:colOff>
      <xdr:row>39</xdr:row>
      <xdr:rowOff>72254</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865502" y="4508194"/>
          <a:ext cx="2199221" cy="1660060"/>
        </a:xfrm>
        <a:prstGeom prst="rect">
          <a:avLst/>
        </a:prstGeom>
        <a:solidFill>
          <a:schemeClr val="bg1"/>
        </a:solidFill>
        <a:ln>
          <a:solidFill>
            <a:schemeClr val="bg1">
              <a:lumMod val="50000"/>
            </a:schemeClr>
          </a:solidFill>
        </a:ln>
      </xdr:spPr>
    </xdr:pic>
    <xdr:clientData/>
  </xdr:twoCellAnchor>
  <xdr:twoCellAnchor editAs="oneCell">
    <xdr:from>
      <xdr:col>22</xdr:col>
      <xdr:colOff>605761</xdr:colOff>
      <xdr:row>30</xdr:row>
      <xdr:rowOff>118187</xdr:rowOff>
    </xdr:from>
    <xdr:to>
      <xdr:col>27</xdr:col>
      <xdr:colOff>74739</xdr:colOff>
      <xdr:row>39</xdr:row>
      <xdr:rowOff>162149</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320065" y="4499687"/>
          <a:ext cx="2533542" cy="1758462"/>
        </a:xfrm>
        <a:prstGeom prst="rect">
          <a:avLst/>
        </a:prstGeom>
        <a:solidFill>
          <a:schemeClr val="bg1"/>
        </a:solidFill>
        <a:ln>
          <a:solidFill>
            <a:schemeClr val="bg1">
              <a:lumMod val="50000"/>
            </a:schemeClr>
          </a:solidFill>
        </a:ln>
      </xdr:spPr>
    </xdr:pic>
    <xdr:clientData/>
  </xdr:twoCellAnchor>
  <xdr:twoCellAnchor editAs="oneCell">
    <xdr:from>
      <xdr:col>17</xdr:col>
      <xdr:colOff>610179</xdr:colOff>
      <xdr:row>20</xdr:row>
      <xdr:rowOff>125961</xdr:rowOff>
    </xdr:from>
    <xdr:to>
      <xdr:col>21</xdr:col>
      <xdr:colOff>386347</xdr:colOff>
      <xdr:row>29</xdr:row>
      <xdr:rowOff>186041</xdr:rowOff>
    </xdr:to>
    <xdr:pic>
      <xdr:nvPicPr>
        <xdr:cNvPr id="5" name="Picture 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872831" y="2602461"/>
          <a:ext cx="2227821" cy="1774580"/>
        </a:xfrm>
        <a:prstGeom prst="rect">
          <a:avLst/>
        </a:prstGeom>
        <a:solidFill>
          <a:schemeClr val="bg1"/>
        </a:solidFill>
        <a:ln>
          <a:solidFill>
            <a:schemeClr val="bg1">
              <a:lumMod val="50000"/>
            </a:schemeClr>
          </a:solidFill>
        </a:ln>
      </xdr:spPr>
    </xdr:pic>
    <xdr:clientData/>
  </xdr:twoCellAnchor>
  <xdr:twoCellAnchor editAs="oneCell">
    <xdr:from>
      <xdr:col>0</xdr:col>
      <xdr:colOff>528402</xdr:colOff>
      <xdr:row>7</xdr:row>
      <xdr:rowOff>638305</xdr:rowOff>
    </xdr:from>
    <xdr:to>
      <xdr:col>0</xdr:col>
      <xdr:colOff>690327</xdr:colOff>
      <xdr:row>7</xdr:row>
      <xdr:rowOff>800230</xdr:rowOff>
    </xdr:to>
    <xdr:pic>
      <xdr:nvPicPr>
        <xdr:cNvPr id="6" name="Picture 5"/>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28402" y="2408834"/>
          <a:ext cx="161925" cy="161925"/>
        </a:xfrm>
        <a:prstGeom prst="rect">
          <a:avLst/>
        </a:prstGeom>
      </xdr:spPr>
    </xdr:pic>
    <xdr:clientData/>
  </xdr:twoCellAnchor>
  <xdr:twoCellAnchor editAs="oneCell">
    <xdr:from>
      <xdr:col>0</xdr:col>
      <xdr:colOff>517195</xdr:colOff>
      <xdr:row>9</xdr:row>
      <xdr:rowOff>127138</xdr:rowOff>
    </xdr:from>
    <xdr:to>
      <xdr:col>0</xdr:col>
      <xdr:colOff>688645</xdr:colOff>
      <xdr:row>9</xdr:row>
      <xdr:rowOff>336688</xdr:rowOff>
    </xdr:to>
    <xdr:pic>
      <xdr:nvPicPr>
        <xdr:cNvPr id="7" name="Picture 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17195" y="2928609"/>
          <a:ext cx="171450" cy="209550"/>
        </a:xfrm>
        <a:prstGeom prst="rect">
          <a:avLst/>
        </a:prstGeom>
      </xdr:spPr>
    </xdr:pic>
    <xdr:clientData/>
  </xdr:twoCellAnchor>
  <xdr:twoCellAnchor editAs="oneCell">
    <xdr:from>
      <xdr:col>0</xdr:col>
      <xdr:colOff>549519</xdr:colOff>
      <xdr:row>11</xdr:row>
      <xdr:rowOff>29308</xdr:rowOff>
    </xdr:from>
    <xdr:to>
      <xdr:col>0</xdr:col>
      <xdr:colOff>711444</xdr:colOff>
      <xdr:row>12</xdr:row>
      <xdr:rowOff>733</xdr:rowOff>
    </xdr:to>
    <xdr:pic>
      <xdr:nvPicPr>
        <xdr:cNvPr id="8" name="Picture 7"/>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49519" y="791308"/>
          <a:ext cx="161925" cy="161925"/>
        </a:xfrm>
        <a:prstGeom prst="rect">
          <a:avLst/>
        </a:prstGeom>
      </xdr:spPr>
    </xdr:pic>
    <xdr:clientData/>
  </xdr:twoCellAnchor>
  <xdr:twoCellAnchor editAs="oneCell">
    <xdr:from>
      <xdr:col>22</xdr:col>
      <xdr:colOff>70117</xdr:colOff>
      <xdr:row>20</xdr:row>
      <xdr:rowOff>120098</xdr:rowOff>
    </xdr:from>
    <xdr:to>
      <xdr:col>25</xdr:col>
      <xdr:colOff>440569</xdr:colOff>
      <xdr:row>29</xdr:row>
      <xdr:rowOff>68810</xdr:rowOff>
    </xdr:to>
    <xdr:pic>
      <xdr:nvPicPr>
        <xdr:cNvPr id="9" name="Picture 8"/>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7397334" y="2596598"/>
          <a:ext cx="2209191" cy="1663212"/>
        </a:xfrm>
        <a:prstGeom prst="rect">
          <a:avLst/>
        </a:prstGeom>
        <a:solidFill>
          <a:schemeClr val="bg1"/>
        </a:solidFill>
        <a:ln>
          <a:solidFill>
            <a:schemeClr val="bg1">
              <a:lumMod val="50000"/>
            </a:schemeClr>
          </a:solidFill>
        </a:ln>
      </xdr:spPr>
    </xdr:pic>
    <xdr:clientData/>
  </xdr:twoCellAnchor>
  <xdr:twoCellAnchor editAs="oneCell">
    <xdr:from>
      <xdr:col>1</xdr:col>
      <xdr:colOff>36634</xdr:colOff>
      <xdr:row>14</xdr:row>
      <xdr:rowOff>43962</xdr:rowOff>
    </xdr:from>
    <xdr:to>
      <xdr:col>4</xdr:col>
      <xdr:colOff>437912</xdr:colOff>
      <xdr:row>18</xdr:row>
      <xdr:rowOff>0</xdr:rowOff>
    </xdr:to>
    <xdr:pic>
      <xdr:nvPicPr>
        <xdr:cNvPr id="10" name="Picture 9"/>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01211" y="1567962"/>
          <a:ext cx="3237470" cy="718038"/>
        </a:xfrm>
        <a:prstGeom prst="rect">
          <a:avLst/>
        </a:prstGeom>
        <a:solidFill>
          <a:schemeClr val="bg1"/>
        </a:solidFill>
        <a:ln>
          <a:solidFill>
            <a:schemeClr val="bg1">
              <a:lumMod val="50000"/>
            </a:schemeClr>
          </a:solidFill>
        </a:ln>
      </xdr:spPr>
    </xdr:pic>
    <xdr:clientData/>
  </xdr:twoCellAnchor>
  <xdr:twoCellAnchor>
    <xdr:from>
      <xdr:col>10</xdr:col>
      <xdr:colOff>145676</xdr:colOff>
      <xdr:row>25</xdr:row>
      <xdr:rowOff>179296</xdr:rowOff>
    </xdr:from>
    <xdr:to>
      <xdr:col>29</xdr:col>
      <xdr:colOff>271648</xdr:colOff>
      <xdr:row>62</xdr:row>
      <xdr:rowOff>134477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224116</xdr:colOff>
      <xdr:row>5</xdr:row>
      <xdr:rowOff>123264</xdr:rowOff>
    </xdr:from>
    <xdr:to>
      <xdr:col>32</xdr:col>
      <xdr:colOff>380999</xdr:colOff>
      <xdr:row>17</xdr:row>
      <xdr:rowOff>168085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0.14247</cdr:x>
      <cdr:y>0.04874</cdr:y>
    </cdr:from>
    <cdr:to>
      <cdr:x>0.85724</cdr:x>
      <cdr:y>0.18592</cdr:y>
    </cdr:to>
    <cdr:sp macro="" textlink="">
      <cdr:nvSpPr>
        <cdr:cNvPr id="2" name="TextBox 1"/>
        <cdr:cNvSpPr txBox="1"/>
      </cdr:nvSpPr>
      <cdr:spPr>
        <a:xfrm xmlns:a="http://schemas.openxmlformats.org/drawingml/2006/main">
          <a:off x="1322315" y="302581"/>
          <a:ext cx="6633907" cy="85162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600" b="1"/>
            <a:t>WET</a:t>
          </a:r>
          <a:r>
            <a:rPr lang="en-US" sz="1600" b="1" baseline="0"/>
            <a:t> TANTALUM CAPACITOR ELECTROLYTE LEAKAGE </a:t>
          </a:r>
          <a:endParaRPr lang="en-US" sz="1600" b="1"/>
        </a:p>
      </cdr:txBody>
    </cdr:sp>
  </cdr:relSizeAnchor>
  <cdr:relSizeAnchor xmlns:cdr="http://schemas.openxmlformats.org/drawingml/2006/chartDrawing">
    <cdr:from>
      <cdr:x>0.11897</cdr:x>
      <cdr:y>0.6896</cdr:y>
    </cdr:from>
    <cdr:to>
      <cdr:x>0.3008</cdr:x>
      <cdr:y>0.74826</cdr:y>
    </cdr:to>
    <cdr:sp macro="" textlink="">
      <cdr:nvSpPr>
        <cdr:cNvPr id="3" name="Left-Right Arrow 2"/>
        <cdr:cNvSpPr/>
      </cdr:nvSpPr>
      <cdr:spPr>
        <a:xfrm xmlns:a="http://schemas.openxmlformats.org/drawingml/2006/main">
          <a:off x="1382813" y="4829738"/>
          <a:ext cx="2113423" cy="410836"/>
        </a:xfrm>
        <a:prstGeom xmlns:a="http://schemas.openxmlformats.org/drawingml/2006/main" prst="leftRightArrow">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ctr" anchorCtr="0"/>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r>
            <a:rPr lang="en-US" sz="1100"/>
            <a:t>Failure Free (estimated)</a:t>
          </a:r>
        </a:p>
      </cdr:txBody>
    </cdr:sp>
  </cdr:relSizeAnchor>
  <cdr:relSizeAnchor xmlns:cdr="http://schemas.openxmlformats.org/drawingml/2006/chartDrawing">
    <cdr:from>
      <cdr:x>0.30465</cdr:x>
      <cdr:y>0.7328</cdr:y>
    </cdr:from>
    <cdr:to>
      <cdr:x>0.87829</cdr:x>
      <cdr:y>0.78485</cdr:y>
    </cdr:to>
    <cdr:sp macro="" textlink="">
      <cdr:nvSpPr>
        <cdr:cNvPr id="4" name="Left-Right Arrow 3"/>
        <cdr:cNvSpPr/>
      </cdr:nvSpPr>
      <cdr:spPr>
        <a:xfrm xmlns:a="http://schemas.openxmlformats.org/drawingml/2006/main">
          <a:off x="3541059" y="5132297"/>
          <a:ext cx="6667499" cy="364542"/>
        </a:xfrm>
        <a:prstGeom xmlns:a="http://schemas.openxmlformats.org/drawingml/2006/main" prst="leftRightArrow">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a:t>Failure Mechanism Maturity</a:t>
          </a:r>
        </a:p>
      </cdr:txBody>
    </cdr:sp>
  </cdr:relSizeAnchor>
  <cdr:relSizeAnchor xmlns:cdr="http://schemas.openxmlformats.org/drawingml/2006/chartDrawing">
    <cdr:from>
      <cdr:x>0.32349</cdr:x>
      <cdr:y>0.20725</cdr:y>
    </cdr:from>
    <cdr:to>
      <cdr:x>0.36828</cdr:x>
      <cdr:y>0.5088</cdr:y>
    </cdr:to>
    <cdr:sp macro="" textlink="">
      <cdr:nvSpPr>
        <cdr:cNvPr id="5" name="Up Arrow 4"/>
        <cdr:cNvSpPr/>
      </cdr:nvSpPr>
      <cdr:spPr>
        <a:xfrm xmlns:a="http://schemas.openxmlformats.org/drawingml/2006/main">
          <a:off x="3759991" y="1451513"/>
          <a:ext cx="520656" cy="2111956"/>
        </a:xfrm>
        <a:prstGeom xmlns:a="http://schemas.openxmlformats.org/drawingml/2006/main" prst="upArrow">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vert270" wrap="square" anchor="ctr" anchorCtr="0"/>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sz="1100">
              <a:solidFill>
                <a:schemeClr val="lt1"/>
              </a:solidFill>
              <a:effectLst/>
              <a:latin typeface="+mn-lt"/>
              <a:ea typeface="+mn-ea"/>
              <a:cs typeface="+mn-cs"/>
            </a:rPr>
            <a:t>Hardness Assurance Threshold </a:t>
          </a:r>
          <a:endParaRPr lang="en-US"/>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18</xdr:col>
      <xdr:colOff>602850</xdr:colOff>
      <xdr:row>30</xdr:row>
      <xdr:rowOff>126694</xdr:rowOff>
    </xdr:from>
    <xdr:to>
      <xdr:col>22</xdr:col>
      <xdr:colOff>350417</xdr:colOff>
      <xdr:row>39</xdr:row>
      <xdr:rowOff>72254</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3375" y="6460819"/>
          <a:ext cx="2185967" cy="1660060"/>
        </a:xfrm>
        <a:prstGeom prst="rect">
          <a:avLst/>
        </a:prstGeom>
        <a:solidFill>
          <a:schemeClr val="bg1"/>
        </a:solidFill>
        <a:ln>
          <a:solidFill>
            <a:schemeClr val="bg1">
              <a:lumMod val="50000"/>
            </a:schemeClr>
          </a:solidFill>
        </a:ln>
      </xdr:spPr>
    </xdr:pic>
    <xdr:clientData/>
  </xdr:twoCellAnchor>
  <xdr:twoCellAnchor editAs="oneCell">
    <xdr:from>
      <xdr:col>22</xdr:col>
      <xdr:colOff>605761</xdr:colOff>
      <xdr:row>30</xdr:row>
      <xdr:rowOff>118187</xdr:rowOff>
    </xdr:from>
    <xdr:to>
      <xdr:col>27</xdr:col>
      <xdr:colOff>74739</xdr:colOff>
      <xdr:row>39</xdr:row>
      <xdr:rowOff>162149</xdr:rowOff>
    </xdr:to>
    <xdr:pic>
      <xdr:nvPicPr>
        <xdr:cNvPr id="3" name="Pictur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674686" y="6452312"/>
          <a:ext cx="2516978" cy="1758462"/>
        </a:xfrm>
        <a:prstGeom prst="rect">
          <a:avLst/>
        </a:prstGeom>
        <a:solidFill>
          <a:schemeClr val="bg1"/>
        </a:solidFill>
        <a:ln>
          <a:solidFill>
            <a:schemeClr val="bg1">
              <a:lumMod val="50000"/>
            </a:schemeClr>
          </a:solidFill>
        </a:ln>
      </xdr:spPr>
    </xdr:pic>
    <xdr:clientData/>
  </xdr:twoCellAnchor>
  <xdr:twoCellAnchor editAs="oneCell">
    <xdr:from>
      <xdr:col>17</xdr:col>
      <xdr:colOff>610179</xdr:colOff>
      <xdr:row>20</xdr:row>
      <xdr:rowOff>125961</xdr:rowOff>
    </xdr:from>
    <xdr:to>
      <xdr:col>21</xdr:col>
      <xdr:colOff>386347</xdr:colOff>
      <xdr:row>29</xdr:row>
      <xdr:rowOff>186041</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5631104" y="4555086"/>
          <a:ext cx="2214568" cy="1774580"/>
        </a:xfrm>
        <a:prstGeom prst="rect">
          <a:avLst/>
        </a:prstGeom>
        <a:solidFill>
          <a:schemeClr val="bg1"/>
        </a:solidFill>
        <a:ln>
          <a:solidFill>
            <a:schemeClr val="bg1">
              <a:lumMod val="50000"/>
            </a:schemeClr>
          </a:solidFill>
        </a:ln>
      </xdr:spPr>
    </xdr:pic>
    <xdr:clientData/>
  </xdr:twoCellAnchor>
  <xdr:twoCellAnchor editAs="oneCell">
    <xdr:from>
      <xdr:col>0</xdr:col>
      <xdr:colOff>483578</xdr:colOff>
      <xdr:row>7</xdr:row>
      <xdr:rowOff>21981</xdr:rowOff>
    </xdr:from>
    <xdr:to>
      <xdr:col>0</xdr:col>
      <xdr:colOff>645503</xdr:colOff>
      <xdr:row>7</xdr:row>
      <xdr:rowOff>183906</xdr:rowOff>
    </xdr:to>
    <xdr:pic>
      <xdr:nvPicPr>
        <xdr:cNvPr id="5" name="Picture 4"/>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83578" y="1784106"/>
          <a:ext cx="161925" cy="161925"/>
        </a:xfrm>
        <a:prstGeom prst="rect">
          <a:avLst/>
        </a:prstGeom>
      </xdr:spPr>
    </xdr:pic>
    <xdr:clientData/>
  </xdr:twoCellAnchor>
  <xdr:twoCellAnchor editAs="oneCell">
    <xdr:from>
      <xdr:col>0</xdr:col>
      <xdr:colOff>483577</xdr:colOff>
      <xdr:row>8</xdr:row>
      <xdr:rowOff>183167</xdr:rowOff>
    </xdr:from>
    <xdr:to>
      <xdr:col>0</xdr:col>
      <xdr:colOff>655027</xdr:colOff>
      <xdr:row>11</xdr:row>
      <xdr:rowOff>11717</xdr:rowOff>
    </xdr:to>
    <xdr:pic>
      <xdr:nvPicPr>
        <xdr:cNvPr id="6" name="Picture 5"/>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83577" y="2135792"/>
          <a:ext cx="171450" cy="400050"/>
        </a:xfrm>
        <a:prstGeom prst="rect">
          <a:avLst/>
        </a:prstGeom>
      </xdr:spPr>
    </xdr:pic>
    <xdr:clientData/>
  </xdr:twoCellAnchor>
  <xdr:twoCellAnchor editAs="oneCell">
    <xdr:from>
      <xdr:col>0</xdr:col>
      <xdr:colOff>549519</xdr:colOff>
      <xdr:row>11</xdr:row>
      <xdr:rowOff>29308</xdr:rowOff>
    </xdr:from>
    <xdr:to>
      <xdr:col>0</xdr:col>
      <xdr:colOff>711444</xdr:colOff>
      <xdr:row>12</xdr:row>
      <xdr:rowOff>733</xdr:rowOff>
    </xdr:to>
    <xdr:pic>
      <xdr:nvPicPr>
        <xdr:cNvPr id="7" name="Picture 6"/>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49519" y="2743933"/>
          <a:ext cx="161925" cy="161925"/>
        </a:xfrm>
        <a:prstGeom prst="rect">
          <a:avLst/>
        </a:prstGeom>
      </xdr:spPr>
    </xdr:pic>
    <xdr:clientData/>
  </xdr:twoCellAnchor>
  <xdr:twoCellAnchor editAs="oneCell">
    <xdr:from>
      <xdr:col>22</xdr:col>
      <xdr:colOff>70117</xdr:colOff>
      <xdr:row>20</xdr:row>
      <xdr:rowOff>120098</xdr:rowOff>
    </xdr:from>
    <xdr:to>
      <xdr:col>25</xdr:col>
      <xdr:colOff>440569</xdr:colOff>
      <xdr:row>29</xdr:row>
      <xdr:rowOff>68810</xdr:rowOff>
    </xdr:to>
    <xdr:pic>
      <xdr:nvPicPr>
        <xdr:cNvPr id="8" name="Picture 7"/>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8139042" y="4549223"/>
          <a:ext cx="2199252" cy="1663212"/>
        </a:xfrm>
        <a:prstGeom prst="rect">
          <a:avLst/>
        </a:prstGeom>
        <a:solidFill>
          <a:schemeClr val="bg1"/>
        </a:solidFill>
        <a:ln>
          <a:solidFill>
            <a:schemeClr val="bg1">
              <a:lumMod val="50000"/>
            </a:schemeClr>
          </a:solidFill>
        </a:ln>
      </xdr:spPr>
    </xdr:pic>
    <xdr:clientData/>
  </xdr:twoCellAnchor>
  <xdr:twoCellAnchor editAs="oneCell">
    <xdr:from>
      <xdr:col>1</xdr:col>
      <xdr:colOff>36634</xdr:colOff>
      <xdr:row>14</xdr:row>
      <xdr:rowOff>43962</xdr:rowOff>
    </xdr:from>
    <xdr:to>
      <xdr:col>4</xdr:col>
      <xdr:colOff>437912</xdr:colOff>
      <xdr:row>18</xdr:row>
      <xdr:rowOff>0</xdr:rowOff>
    </xdr:to>
    <xdr:pic>
      <xdr:nvPicPr>
        <xdr:cNvPr id="9" name="Picture 8"/>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55784" y="3330087"/>
          <a:ext cx="3239728" cy="718038"/>
        </a:xfrm>
        <a:prstGeom prst="rect">
          <a:avLst/>
        </a:prstGeom>
        <a:solidFill>
          <a:schemeClr val="bg1"/>
        </a:solidFill>
        <a:ln>
          <a:solidFill>
            <a:schemeClr val="bg1">
              <a:lumMod val="50000"/>
            </a:schemeClr>
          </a:solidFill>
        </a:ln>
      </xdr:spPr>
    </xdr:pic>
    <xdr:clientData/>
  </xdr:twoCellAnchor>
  <xdr:twoCellAnchor>
    <xdr:from>
      <xdr:col>10</xdr:col>
      <xdr:colOff>361949</xdr:colOff>
      <xdr:row>21</xdr:row>
      <xdr:rowOff>76199</xdr:rowOff>
    </xdr:from>
    <xdr:to>
      <xdr:col>20</xdr:col>
      <xdr:colOff>285750</xdr:colOff>
      <xdr:row>36</xdr:row>
      <xdr:rowOff>62192</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142874</xdr:colOff>
      <xdr:row>37</xdr:row>
      <xdr:rowOff>109537</xdr:rowOff>
    </xdr:from>
    <xdr:to>
      <xdr:col>19</xdr:col>
      <xdr:colOff>428625</xdr:colOff>
      <xdr:row>51</xdr:row>
      <xdr:rowOff>185737</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104775</xdr:colOff>
      <xdr:row>13</xdr:row>
      <xdr:rowOff>95250</xdr:rowOff>
    </xdr:from>
    <xdr:to>
      <xdr:col>24</xdr:col>
      <xdr:colOff>473190</xdr:colOff>
      <xdr:row>21</xdr:row>
      <xdr:rowOff>114565</xdr:rowOff>
    </xdr:to>
    <xdr:pic>
      <xdr:nvPicPr>
        <xdr:cNvPr id="2" name="Picture 1"/>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a:ext>
          </a:extLst>
        </a:blip>
        <a:srcRect t="3443"/>
        <a:stretch/>
      </xdr:blipFill>
      <xdr:spPr>
        <a:xfrm>
          <a:off x="12287250" y="3190875"/>
          <a:ext cx="2806815" cy="1543315"/>
        </a:xfrm>
        <a:prstGeom prst="rect">
          <a:avLst/>
        </a:prstGeom>
      </xdr:spPr>
    </xdr:pic>
    <xdr:clientData/>
  </xdr:twoCellAnchor>
  <xdr:twoCellAnchor>
    <xdr:from>
      <xdr:col>7</xdr:col>
      <xdr:colOff>1066800</xdr:colOff>
      <xdr:row>3</xdr:row>
      <xdr:rowOff>104775</xdr:rowOff>
    </xdr:from>
    <xdr:to>
      <xdr:col>18</xdr:col>
      <xdr:colOff>19050</xdr:colOff>
      <xdr:row>29</xdr:row>
      <xdr:rowOff>38100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0.28044</cdr:x>
      <cdr:y>0.06067</cdr:y>
    </cdr:from>
    <cdr:to>
      <cdr:x>0.70862</cdr:x>
      <cdr:y>0.13699</cdr:y>
    </cdr:to>
    <cdr:sp macro="" textlink="">
      <cdr:nvSpPr>
        <cdr:cNvPr id="2" name="TextBox 1"/>
        <cdr:cNvSpPr txBox="1"/>
      </cdr:nvSpPr>
      <cdr:spPr>
        <a:xfrm xmlns:a="http://schemas.openxmlformats.org/drawingml/2006/main">
          <a:off x="1952625" y="295275"/>
          <a:ext cx="2981325" cy="3714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0.26036</cdr:x>
      <cdr:y>0.02938</cdr:y>
    </cdr:from>
    <cdr:to>
      <cdr:x>0.77883</cdr:x>
      <cdr:y>0.11158</cdr:y>
    </cdr:to>
    <cdr:sp macro="" textlink="">
      <cdr:nvSpPr>
        <cdr:cNvPr id="3" name="TextBox 2"/>
        <cdr:cNvSpPr txBox="1"/>
      </cdr:nvSpPr>
      <cdr:spPr>
        <a:xfrm xmlns:a="http://schemas.openxmlformats.org/drawingml/2006/main">
          <a:off x="2033553" y="161735"/>
          <a:ext cx="4049510" cy="45254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600" b="1"/>
            <a:t>FBPEU</a:t>
          </a:r>
          <a:r>
            <a:rPr lang="en-US" sz="1600" b="1" baseline="0"/>
            <a:t> Service Life Estimate</a:t>
          </a:r>
          <a:endParaRPr lang="en-US" sz="1600" b="1"/>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reliawiki.org/index.php/The_Weibull_Distribution"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reliawiki.org/index.php/The_Weibull_Distribution"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139"/>
  <sheetViews>
    <sheetView topLeftCell="F18" zoomScale="85" zoomScaleNormal="85" workbookViewId="0">
      <selection activeCell="AG47" sqref="AG47"/>
    </sheetView>
  </sheetViews>
  <sheetFormatPr defaultRowHeight="15" x14ac:dyDescent="0.25"/>
  <cols>
    <col min="1" max="1" width="12.28515625" style="25" customWidth="1"/>
    <col min="2" max="2" width="15.42578125" customWidth="1"/>
    <col min="3" max="3" width="2.28515625" style="3" customWidth="1"/>
    <col min="4" max="4" width="24.85546875" style="5" customWidth="1"/>
    <col min="5" max="5" width="14.42578125" style="9" customWidth="1"/>
    <col min="6" max="6" width="29" style="9" customWidth="1"/>
    <col min="7" max="7" width="24.5703125" style="9" customWidth="1"/>
    <col min="8" max="8" width="15" customWidth="1"/>
    <col min="9" max="9" width="10.5703125" customWidth="1"/>
    <col min="10" max="10" width="11.140625" customWidth="1"/>
  </cols>
  <sheetData>
    <row r="1" spans="1:29" x14ac:dyDescent="0.25">
      <c r="A1" s="35" t="s">
        <v>24</v>
      </c>
      <c r="B1" s="35"/>
      <c r="C1" s="35"/>
      <c r="D1" s="35"/>
      <c r="E1" s="35"/>
      <c r="F1" s="35"/>
      <c r="G1" s="35"/>
      <c r="H1" s="35"/>
      <c r="I1" s="35"/>
      <c r="J1" s="35"/>
      <c r="K1" s="35"/>
      <c r="L1" s="35"/>
      <c r="M1" s="35"/>
      <c r="N1" s="35"/>
      <c r="O1" s="35"/>
      <c r="P1" s="35"/>
      <c r="Q1" s="35"/>
      <c r="R1" s="35"/>
      <c r="S1" s="35"/>
      <c r="T1" s="35"/>
      <c r="U1" s="35"/>
      <c r="V1" s="35"/>
    </row>
    <row r="2" spans="1:29" x14ac:dyDescent="0.25">
      <c r="A2" s="35"/>
      <c r="B2" s="35"/>
      <c r="C2" s="35"/>
      <c r="D2" s="35"/>
      <c r="E2" s="35"/>
      <c r="F2" s="35"/>
      <c r="G2" s="35"/>
      <c r="H2" s="35"/>
      <c r="I2" s="35"/>
      <c r="J2" s="35"/>
      <c r="K2" s="35"/>
      <c r="L2" s="35"/>
      <c r="M2" s="35"/>
      <c r="N2" s="35"/>
      <c r="O2" s="35"/>
      <c r="P2" s="35"/>
      <c r="Q2" s="35"/>
      <c r="R2" s="35"/>
      <c r="S2" s="35"/>
      <c r="T2" s="35"/>
      <c r="U2" s="35"/>
      <c r="V2" s="35"/>
    </row>
    <row r="3" spans="1:29" x14ac:dyDescent="0.25">
      <c r="A3" s="35"/>
      <c r="B3" s="35"/>
      <c r="C3" s="35"/>
      <c r="D3" s="35"/>
      <c r="E3" s="35"/>
      <c r="F3" s="35"/>
      <c r="G3" s="35"/>
      <c r="H3" s="35"/>
      <c r="I3" s="35"/>
      <c r="J3" s="35"/>
      <c r="K3" s="35"/>
      <c r="L3" s="35"/>
      <c r="M3" s="35"/>
      <c r="N3" s="35"/>
      <c r="O3" s="35"/>
      <c r="P3" s="35"/>
      <c r="Q3" s="35"/>
      <c r="R3" s="35"/>
      <c r="S3" s="35"/>
      <c r="T3" s="35"/>
      <c r="U3" s="35"/>
      <c r="V3" s="35"/>
    </row>
    <row r="4" spans="1:29" ht="26.25" customHeight="1" x14ac:dyDescent="0.25">
      <c r="A4" s="35" t="s">
        <v>27</v>
      </c>
      <c r="B4" s="35"/>
      <c r="C4" s="35"/>
      <c r="D4" s="35"/>
      <c r="E4" s="35"/>
      <c r="F4" s="35"/>
      <c r="G4" s="35"/>
      <c r="H4" s="35"/>
      <c r="I4" s="35"/>
      <c r="J4" s="35"/>
      <c r="K4" s="35"/>
      <c r="L4" s="35"/>
      <c r="M4" s="35"/>
      <c r="N4" s="35"/>
      <c r="O4" s="35"/>
      <c r="P4" s="35"/>
      <c r="Q4" s="35"/>
      <c r="R4" s="35"/>
      <c r="S4" s="35"/>
      <c r="T4" s="35"/>
      <c r="U4" s="35"/>
      <c r="V4" s="35"/>
      <c r="W4" s="19"/>
      <c r="X4" s="19"/>
      <c r="Y4" s="19"/>
      <c r="Z4" s="19"/>
      <c r="AA4" s="19"/>
      <c r="AB4" s="19"/>
      <c r="AC4" s="19"/>
    </row>
    <row r="5" spans="1:29" ht="26.25" customHeight="1" x14ac:dyDescent="0.25">
      <c r="A5" s="35"/>
      <c r="B5" s="35"/>
      <c r="C5" s="35"/>
      <c r="D5" s="35"/>
      <c r="E5" s="35"/>
      <c r="F5" s="35"/>
      <c r="G5" s="35"/>
      <c r="H5" s="35"/>
      <c r="I5" s="35"/>
      <c r="J5" s="35"/>
      <c r="K5" s="35"/>
      <c r="L5" s="35"/>
      <c r="M5" s="35"/>
      <c r="N5" s="35"/>
      <c r="O5" s="35"/>
      <c r="P5" s="35"/>
      <c r="Q5" s="35"/>
      <c r="R5" s="35"/>
      <c r="S5" s="35"/>
      <c r="T5" s="35"/>
      <c r="U5" s="35"/>
      <c r="V5" s="35"/>
      <c r="W5" s="19"/>
      <c r="X5" s="19"/>
      <c r="Y5" s="19"/>
      <c r="Z5" s="19"/>
      <c r="AA5" s="19"/>
      <c r="AB5" s="19"/>
      <c r="AC5" s="19"/>
    </row>
    <row r="6" spans="1:29" ht="15" customHeight="1" x14ac:dyDescent="0.25">
      <c r="A6" s="35"/>
      <c r="B6" s="35"/>
      <c r="C6" s="35"/>
      <c r="D6" s="35"/>
      <c r="E6" s="35"/>
      <c r="F6" s="35"/>
      <c r="G6" s="35"/>
      <c r="H6" s="35"/>
      <c r="I6" s="35"/>
      <c r="J6" s="35"/>
      <c r="K6" s="35"/>
      <c r="L6" s="35"/>
      <c r="M6" s="35"/>
      <c r="N6" s="35"/>
      <c r="O6" s="35"/>
      <c r="P6" s="35"/>
      <c r="Q6" s="35"/>
      <c r="R6" s="35"/>
      <c r="S6" s="35"/>
      <c r="T6" s="35"/>
      <c r="U6" s="35"/>
      <c r="V6" s="35"/>
      <c r="W6" s="19"/>
      <c r="X6" s="19"/>
      <c r="Y6" s="19"/>
      <c r="Z6" s="19"/>
      <c r="AA6" s="19"/>
      <c r="AB6" s="19"/>
      <c r="AC6" s="19"/>
    </row>
    <row r="7" spans="1:29" ht="71.25" customHeight="1" x14ac:dyDescent="0.25">
      <c r="A7" s="37" t="s">
        <v>28</v>
      </c>
      <c r="B7" s="37"/>
      <c r="C7" s="37"/>
      <c r="D7" s="37"/>
      <c r="E7" s="37"/>
      <c r="F7" s="37"/>
      <c r="G7" s="37"/>
      <c r="H7" s="37"/>
      <c r="I7" s="37"/>
      <c r="J7" s="37"/>
      <c r="K7" s="37"/>
      <c r="L7" s="37"/>
      <c r="M7" s="37"/>
      <c r="N7" s="37"/>
      <c r="O7" s="37"/>
      <c r="P7" s="37"/>
      <c r="Q7" s="37"/>
      <c r="R7" s="37"/>
      <c r="S7" s="37"/>
      <c r="T7" s="37"/>
      <c r="U7" s="37"/>
      <c r="V7" s="37"/>
      <c r="W7" s="17"/>
      <c r="X7" s="17"/>
      <c r="Y7" s="17"/>
      <c r="Z7" s="17"/>
      <c r="AA7" s="17"/>
      <c r="AB7" s="17"/>
      <c r="AC7" s="17"/>
    </row>
    <row r="8" spans="1:29" ht="66" customHeight="1" x14ac:dyDescent="0.25">
      <c r="A8" s="25" t="s">
        <v>1</v>
      </c>
      <c r="B8" s="2">
        <v>50</v>
      </c>
      <c r="D8" s="4" t="s">
        <v>12</v>
      </c>
      <c r="G8" s="13" t="s">
        <v>18</v>
      </c>
      <c r="H8" s="36" t="s">
        <v>26</v>
      </c>
      <c r="I8" s="36"/>
      <c r="J8" s="36"/>
      <c r="K8" s="36"/>
      <c r="L8" s="36"/>
      <c r="M8" s="36"/>
      <c r="N8" s="36"/>
      <c r="O8" s="36"/>
      <c r="P8" s="36"/>
      <c r="Q8" s="36"/>
    </row>
    <row r="10" spans="1:29" ht="30" x14ac:dyDescent="0.25">
      <c r="A10" s="25" t="s">
        <v>2</v>
      </c>
      <c r="B10" s="2">
        <v>3</v>
      </c>
      <c r="D10" s="23" t="s">
        <v>20</v>
      </c>
      <c r="G10" s="13" t="s">
        <v>17</v>
      </c>
      <c r="H10" s="14" t="s">
        <v>25</v>
      </c>
      <c r="I10" s="14"/>
      <c r="J10" s="14"/>
      <c r="K10" s="14"/>
      <c r="L10" s="14"/>
      <c r="M10" s="14"/>
      <c r="N10" s="14"/>
      <c r="O10" s="14"/>
      <c r="P10" s="14"/>
      <c r="Q10" s="14"/>
    </row>
    <row r="11" spans="1:29" x14ac:dyDescent="0.25">
      <c r="M11" s="8"/>
    </row>
    <row r="12" spans="1:29" x14ac:dyDescent="0.25">
      <c r="A12" s="25" t="s">
        <v>0</v>
      </c>
      <c r="B12" s="2">
        <v>25</v>
      </c>
      <c r="D12" s="4" t="s">
        <v>21</v>
      </c>
      <c r="G12" s="13" t="s">
        <v>19</v>
      </c>
      <c r="H12" s="14" t="s">
        <v>23</v>
      </c>
      <c r="I12" s="14"/>
      <c r="J12" s="14"/>
      <c r="K12" s="14"/>
      <c r="L12" s="14"/>
      <c r="M12" s="14"/>
      <c r="N12" s="14"/>
      <c r="O12" s="14"/>
      <c r="P12" s="14"/>
      <c r="Q12" s="14"/>
    </row>
    <row r="14" spans="1:29" x14ac:dyDescent="0.25">
      <c r="B14" t="s">
        <v>4</v>
      </c>
      <c r="G14" s="18"/>
      <c r="H14" s="16"/>
      <c r="I14" s="16"/>
      <c r="J14" s="16"/>
      <c r="K14" s="16"/>
      <c r="L14" s="16"/>
      <c r="M14" s="16"/>
      <c r="N14" s="16"/>
      <c r="O14" s="16"/>
      <c r="P14" s="16"/>
      <c r="Q14" s="16"/>
      <c r="R14" s="16"/>
    </row>
    <row r="15" spans="1:29" x14ac:dyDescent="0.25">
      <c r="G15" s="13" t="s">
        <v>11</v>
      </c>
      <c r="H15" s="2">
        <v>0.998</v>
      </c>
      <c r="I15" s="16"/>
      <c r="J15" s="22"/>
      <c r="K15" s="16"/>
      <c r="L15" s="16"/>
      <c r="M15" s="16"/>
      <c r="N15" s="16"/>
      <c r="O15" s="16"/>
      <c r="P15" s="16"/>
      <c r="Q15" s="16"/>
      <c r="R15" s="16"/>
    </row>
    <row r="17" spans="1:19" x14ac:dyDescent="0.25">
      <c r="G17" s="18"/>
      <c r="H17" s="16"/>
      <c r="I17" s="16"/>
      <c r="J17" s="16"/>
      <c r="K17" s="16"/>
    </row>
    <row r="20" spans="1:19" x14ac:dyDescent="0.25">
      <c r="B20" t="s">
        <v>5</v>
      </c>
      <c r="E20" s="11"/>
      <c r="F20" s="15" t="s">
        <v>8</v>
      </c>
      <c r="G20" s="12">
        <v>0</v>
      </c>
      <c r="H20" s="14" t="s">
        <v>10</v>
      </c>
      <c r="I20" s="14"/>
      <c r="J20" s="14"/>
      <c r="K20" s="14"/>
      <c r="L20" s="14"/>
      <c r="M20" s="14"/>
      <c r="N20" s="14"/>
      <c r="O20" s="14"/>
      <c r="P20" s="14"/>
      <c r="Q20" s="14"/>
      <c r="S20" s="6" t="s">
        <v>3</v>
      </c>
    </row>
    <row r="21" spans="1:19" x14ac:dyDescent="0.25">
      <c r="A21" s="26" t="s">
        <v>7</v>
      </c>
      <c r="B21" t="s">
        <v>6</v>
      </c>
    </row>
    <row r="22" spans="1:19" x14ac:dyDescent="0.25">
      <c r="A22" s="27">
        <v>1984</v>
      </c>
      <c r="B22" s="8"/>
      <c r="D22" s="7" t="s">
        <v>16</v>
      </c>
      <c r="E22" s="10" t="s">
        <v>15</v>
      </c>
      <c r="F22" s="10" t="s">
        <v>9</v>
      </c>
      <c r="G22" s="10" t="s">
        <v>14</v>
      </c>
      <c r="H22" s="10" t="s">
        <v>13</v>
      </c>
      <c r="K22" s="1"/>
    </row>
    <row r="23" spans="1:19" x14ac:dyDescent="0.25">
      <c r="A23" s="25">
        <f>A22+1</f>
        <v>1985</v>
      </c>
      <c r="B23">
        <f t="shared" ref="B23:B54" si="0">A23-mfr_yr</f>
        <v>1</v>
      </c>
      <c r="D23" s="28">
        <f t="shared" ref="D23:D86" si="1">IF(B23&gt;=ups,((beta/eta)*(((B23-ups)/eta)^(beta-1))*(EXP(-1*(((B23-ups)/eta)^beta)))),0)</f>
        <v>0</v>
      </c>
      <c r="E23" s="20">
        <f t="shared" ref="E23:E54" si="2">IF((B23&gt;=ups),IF(E22+D23&gt;1,1,E22+D23),0)</f>
        <v>0</v>
      </c>
      <c r="F23" s="20">
        <f>IF((B23&lt;ups+margin),0,D23)</f>
        <v>0</v>
      </c>
      <c r="G23" s="20">
        <f>F23</f>
        <v>0</v>
      </c>
      <c r="H23" s="21">
        <f t="shared" ref="H23:H54" si="3">IF(B23&lt;=(ups+margin),alloc,IF(F23&gt;0,H22-alloc*F23,0))</f>
        <v>0.998</v>
      </c>
    </row>
    <row r="24" spans="1:19" x14ac:dyDescent="0.25">
      <c r="A24" s="25">
        <f t="shared" ref="A24:A87" si="4">A23+1</f>
        <v>1986</v>
      </c>
      <c r="B24">
        <f t="shared" si="0"/>
        <v>2</v>
      </c>
      <c r="D24" s="28">
        <f t="shared" si="1"/>
        <v>0</v>
      </c>
      <c r="E24" s="20">
        <f t="shared" si="2"/>
        <v>0</v>
      </c>
      <c r="F24" s="20">
        <f t="shared" ref="F24:F55" si="5">IF(B24&lt;ups+margin,0,IF(B24&gt;(2*eta+ups+margin),0,((beta/eta)*(((B24-ups-margin)/eta)^(beta-1))*(EXP(-1*(((B24-ups-margin)/eta)^beta))))))</f>
        <v>0</v>
      </c>
      <c r="G24" s="20">
        <f t="shared" ref="G24:G55" si="6">IF(B24&lt;=ups+margin,0,IF(F24=0,1,G23+F24))</f>
        <v>0</v>
      </c>
      <c r="H24" s="21">
        <f t="shared" si="3"/>
        <v>0.998</v>
      </c>
    </row>
    <row r="25" spans="1:19" x14ac:dyDescent="0.25">
      <c r="A25" s="25">
        <f t="shared" si="4"/>
        <v>1987</v>
      </c>
      <c r="B25">
        <f t="shared" si="0"/>
        <v>3</v>
      </c>
      <c r="D25" s="28">
        <f t="shared" si="1"/>
        <v>0</v>
      </c>
      <c r="E25" s="20">
        <f t="shared" si="2"/>
        <v>0</v>
      </c>
      <c r="F25" s="20">
        <f t="shared" si="5"/>
        <v>0</v>
      </c>
      <c r="G25" s="20">
        <f t="shared" si="6"/>
        <v>0</v>
      </c>
      <c r="H25" s="21">
        <f t="shared" si="3"/>
        <v>0.998</v>
      </c>
    </row>
    <row r="26" spans="1:19" x14ac:dyDescent="0.25">
      <c r="A26" s="25">
        <f t="shared" si="4"/>
        <v>1988</v>
      </c>
      <c r="B26">
        <f t="shared" si="0"/>
        <v>4</v>
      </c>
      <c r="D26" s="28">
        <f t="shared" si="1"/>
        <v>0</v>
      </c>
      <c r="E26" s="20">
        <f t="shared" si="2"/>
        <v>0</v>
      </c>
      <c r="F26" s="20">
        <f t="shared" si="5"/>
        <v>0</v>
      </c>
      <c r="G26" s="20">
        <f t="shared" si="6"/>
        <v>0</v>
      </c>
      <c r="H26" s="21">
        <f t="shared" si="3"/>
        <v>0.998</v>
      </c>
    </row>
    <row r="27" spans="1:19" x14ac:dyDescent="0.25">
      <c r="A27" s="25">
        <f t="shared" si="4"/>
        <v>1989</v>
      </c>
      <c r="B27">
        <f t="shared" si="0"/>
        <v>5</v>
      </c>
      <c r="D27" s="28">
        <f t="shared" si="1"/>
        <v>0</v>
      </c>
      <c r="E27" s="20">
        <f t="shared" si="2"/>
        <v>0</v>
      </c>
      <c r="F27" s="20">
        <f t="shared" si="5"/>
        <v>0</v>
      </c>
      <c r="G27" s="20">
        <f t="shared" si="6"/>
        <v>0</v>
      </c>
      <c r="H27" s="21">
        <f t="shared" si="3"/>
        <v>0.998</v>
      </c>
    </row>
    <row r="28" spans="1:19" x14ac:dyDescent="0.25">
      <c r="A28" s="25">
        <f t="shared" si="4"/>
        <v>1990</v>
      </c>
      <c r="B28">
        <f t="shared" si="0"/>
        <v>6</v>
      </c>
      <c r="D28" s="28">
        <f t="shared" si="1"/>
        <v>0</v>
      </c>
      <c r="E28" s="20">
        <f t="shared" si="2"/>
        <v>0</v>
      </c>
      <c r="F28" s="20">
        <f t="shared" si="5"/>
        <v>0</v>
      </c>
      <c r="G28" s="20">
        <f t="shared" si="6"/>
        <v>0</v>
      </c>
      <c r="H28" s="21">
        <f t="shared" si="3"/>
        <v>0.998</v>
      </c>
    </row>
    <row r="29" spans="1:19" x14ac:dyDescent="0.25">
      <c r="A29" s="25">
        <f t="shared" si="4"/>
        <v>1991</v>
      </c>
      <c r="B29">
        <f t="shared" si="0"/>
        <v>7</v>
      </c>
      <c r="D29" s="28">
        <f t="shared" si="1"/>
        <v>0</v>
      </c>
      <c r="E29" s="20">
        <f t="shared" si="2"/>
        <v>0</v>
      </c>
      <c r="F29" s="20">
        <f t="shared" si="5"/>
        <v>0</v>
      </c>
      <c r="G29" s="20">
        <f t="shared" si="6"/>
        <v>0</v>
      </c>
      <c r="H29" s="21">
        <f t="shared" si="3"/>
        <v>0.998</v>
      </c>
    </row>
    <row r="30" spans="1:19" x14ac:dyDescent="0.25">
      <c r="A30" s="25">
        <f t="shared" si="4"/>
        <v>1992</v>
      </c>
      <c r="B30">
        <f t="shared" si="0"/>
        <v>8</v>
      </c>
      <c r="D30" s="28">
        <f t="shared" si="1"/>
        <v>0</v>
      </c>
      <c r="E30" s="20">
        <f t="shared" si="2"/>
        <v>0</v>
      </c>
      <c r="F30" s="20">
        <f t="shared" si="5"/>
        <v>0</v>
      </c>
      <c r="G30" s="20">
        <f t="shared" si="6"/>
        <v>0</v>
      </c>
      <c r="H30" s="21">
        <f t="shared" si="3"/>
        <v>0.998</v>
      </c>
    </row>
    <row r="31" spans="1:19" x14ac:dyDescent="0.25">
      <c r="A31" s="25">
        <f t="shared" si="4"/>
        <v>1993</v>
      </c>
      <c r="B31">
        <f t="shared" si="0"/>
        <v>9</v>
      </c>
      <c r="D31" s="28">
        <f t="shared" si="1"/>
        <v>0</v>
      </c>
      <c r="E31" s="20">
        <f t="shared" si="2"/>
        <v>0</v>
      </c>
      <c r="F31" s="20">
        <f t="shared" si="5"/>
        <v>0</v>
      </c>
      <c r="G31" s="20">
        <f t="shared" si="6"/>
        <v>0</v>
      </c>
      <c r="H31" s="21">
        <f t="shared" si="3"/>
        <v>0.998</v>
      </c>
    </row>
    <row r="32" spans="1:19" x14ac:dyDescent="0.25">
      <c r="A32" s="25">
        <f t="shared" si="4"/>
        <v>1994</v>
      </c>
      <c r="B32">
        <f t="shared" si="0"/>
        <v>10</v>
      </c>
      <c r="D32" s="28">
        <f t="shared" si="1"/>
        <v>0</v>
      </c>
      <c r="E32" s="20">
        <f t="shared" si="2"/>
        <v>0</v>
      </c>
      <c r="F32" s="20">
        <f t="shared" si="5"/>
        <v>0</v>
      </c>
      <c r="G32" s="20">
        <f t="shared" si="6"/>
        <v>0</v>
      </c>
      <c r="H32" s="21">
        <f t="shared" si="3"/>
        <v>0.998</v>
      </c>
    </row>
    <row r="33" spans="1:8" x14ac:dyDescent="0.25">
      <c r="A33" s="25">
        <f t="shared" si="4"/>
        <v>1995</v>
      </c>
      <c r="B33">
        <f t="shared" si="0"/>
        <v>11</v>
      </c>
      <c r="D33" s="28">
        <f t="shared" si="1"/>
        <v>0</v>
      </c>
      <c r="E33" s="20">
        <f t="shared" si="2"/>
        <v>0</v>
      </c>
      <c r="F33" s="20">
        <f t="shared" si="5"/>
        <v>0</v>
      </c>
      <c r="G33" s="20">
        <f t="shared" si="6"/>
        <v>0</v>
      </c>
      <c r="H33" s="21">
        <f t="shared" si="3"/>
        <v>0.998</v>
      </c>
    </row>
    <row r="34" spans="1:8" x14ac:dyDescent="0.25">
      <c r="A34" s="25">
        <f t="shared" si="4"/>
        <v>1996</v>
      </c>
      <c r="B34">
        <f t="shared" si="0"/>
        <v>12</v>
      </c>
      <c r="D34" s="28">
        <f t="shared" si="1"/>
        <v>0</v>
      </c>
      <c r="E34" s="20">
        <f t="shared" si="2"/>
        <v>0</v>
      </c>
      <c r="F34" s="20">
        <f t="shared" si="5"/>
        <v>0</v>
      </c>
      <c r="G34" s="20">
        <f t="shared" si="6"/>
        <v>0</v>
      </c>
      <c r="H34" s="21">
        <f t="shared" si="3"/>
        <v>0.998</v>
      </c>
    </row>
    <row r="35" spans="1:8" x14ac:dyDescent="0.25">
      <c r="A35" s="25">
        <f t="shared" si="4"/>
        <v>1997</v>
      </c>
      <c r="B35">
        <f t="shared" si="0"/>
        <v>13</v>
      </c>
      <c r="D35" s="28">
        <f t="shared" si="1"/>
        <v>0</v>
      </c>
      <c r="E35" s="20">
        <f t="shared" si="2"/>
        <v>0</v>
      </c>
      <c r="F35" s="20">
        <f t="shared" si="5"/>
        <v>0</v>
      </c>
      <c r="G35" s="20">
        <f t="shared" si="6"/>
        <v>0</v>
      </c>
      <c r="H35" s="21">
        <f t="shared" si="3"/>
        <v>0.998</v>
      </c>
    </row>
    <row r="36" spans="1:8" x14ac:dyDescent="0.25">
      <c r="A36" s="25">
        <f t="shared" si="4"/>
        <v>1998</v>
      </c>
      <c r="B36">
        <f t="shared" si="0"/>
        <v>14</v>
      </c>
      <c r="D36" s="28">
        <f t="shared" si="1"/>
        <v>0</v>
      </c>
      <c r="E36" s="20">
        <f t="shared" si="2"/>
        <v>0</v>
      </c>
      <c r="F36" s="20">
        <f t="shared" si="5"/>
        <v>0</v>
      </c>
      <c r="G36" s="20">
        <f t="shared" si="6"/>
        <v>0</v>
      </c>
      <c r="H36" s="21">
        <f t="shared" si="3"/>
        <v>0.998</v>
      </c>
    </row>
    <row r="37" spans="1:8" x14ac:dyDescent="0.25">
      <c r="A37" s="25">
        <f t="shared" si="4"/>
        <v>1999</v>
      </c>
      <c r="B37">
        <f t="shared" si="0"/>
        <v>15</v>
      </c>
      <c r="D37" s="28">
        <f t="shared" si="1"/>
        <v>0</v>
      </c>
      <c r="E37" s="20">
        <f t="shared" si="2"/>
        <v>0</v>
      </c>
      <c r="F37" s="20">
        <f t="shared" si="5"/>
        <v>0</v>
      </c>
      <c r="G37" s="20">
        <f t="shared" si="6"/>
        <v>0</v>
      </c>
      <c r="H37" s="21">
        <f t="shared" si="3"/>
        <v>0.998</v>
      </c>
    </row>
    <row r="38" spans="1:8" x14ac:dyDescent="0.25">
      <c r="A38" s="25">
        <f t="shared" si="4"/>
        <v>2000</v>
      </c>
      <c r="B38">
        <f t="shared" si="0"/>
        <v>16</v>
      </c>
      <c r="D38" s="28">
        <f t="shared" si="1"/>
        <v>0</v>
      </c>
      <c r="E38" s="20">
        <f t="shared" si="2"/>
        <v>0</v>
      </c>
      <c r="F38" s="20">
        <f t="shared" si="5"/>
        <v>0</v>
      </c>
      <c r="G38" s="20">
        <f t="shared" si="6"/>
        <v>0</v>
      </c>
      <c r="H38" s="21">
        <f t="shared" si="3"/>
        <v>0.998</v>
      </c>
    </row>
    <row r="39" spans="1:8" x14ac:dyDescent="0.25">
      <c r="A39" s="25">
        <f t="shared" si="4"/>
        <v>2001</v>
      </c>
      <c r="B39">
        <f t="shared" si="0"/>
        <v>17</v>
      </c>
      <c r="D39" s="28">
        <f t="shared" si="1"/>
        <v>0</v>
      </c>
      <c r="E39" s="20">
        <f t="shared" si="2"/>
        <v>0</v>
      </c>
      <c r="F39" s="20">
        <f t="shared" si="5"/>
        <v>0</v>
      </c>
      <c r="G39" s="20">
        <f t="shared" si="6"/>
        <v>0</v>
      </c>
      <c r="H39" s="21">
        <f t="shared" si="3"/>
        <v>0.998</v>
      </c>
    </row>
    <row r="40" spans="1:8" x14ac:dyDescent="0.25">
      <c r="A40" s="25">
        <f t="shared" si="4"/>
        <v>2002</v>
      </c>
      <c r="B40">
        <f t="shared" si="0"/>
        <v>18</v>
      </c>
      <c r="D40" s="28">
        <f t="shared" si="1"/>
        <v>0</v>
      </c>
      <c r="E40" s="20">
        <f t="shared" si="2"/>
        <v>0</v>
      </c>
      <c r="F40" s="20">
        <f t="shared" si="5"/>
        <v>0</v>
      </c>
      <c r="G40" s="20">
        <f t="shared" si="6"/>
        <v>0</v>
      </c>
      <c r="H40" s="21">
        <f t="shared" si="3"/>
        <v>0.998</v>
      </c>
    </row>
    <row r="41" spans="1:8" x14ac:dyDescent="0.25">
      <c r="A41" s="25">
        <f t="shared" si="4"/>
        <v>2003</v>
      </c>
      <c r="B41">
        <f t="shared" si="0"/>
        <v>19</v>
      </c>
      <c r="D41" s="28">
        <f t="shared" si="1"/>
        <v>0</v>
      </c>
      <c r="E41" s="20">
        <f t="shared" si="2"/>
        <v>0</v>
      </c>
      <c r="F41" s="20">
        <f t="shared" si="5"/>
        <v>0</v>
      </c>
      <c r="G41" s="20">
        <f t="shared" si="6"/>
        <v>0</v>
      </c>
      <c r="H41" s="21">
        <f t="shared" si="3"/>
        <v>0.998</v>
      </c>
    </row>
    <row r="42" spans="1:8" x14ac:dyDescent="0.25">
      <c r="A42" s="25">
        <f t="shared" si="4"/>
        <v>2004</v>
      </c>
      <c r="B42">
        <f t="shared" si="0"/>
        <v>20</v>
      </c>
      <c r="D42" s="28">
        <f t="shared" si="1"/>
        <v>0</v>
      </c>
      <c r="E42" s="20">
        <f t="shared" si="2"/>
        <v>0</v>
      </c>
      <c r="F42" s="20">
        <f t="shared" si="5"/>
        <v>0</v>
      </c>
      <c r="G42" s="20">
        <f t="shared" si="6"/>
        <v>0</v>
      </c>
      <c r="H42" s="21">
        <f t="shared" si="3"/>
        <v>0.998</v>
      </c>
    </row>
    <row r="43" spans="1:8" x14ac:dyDescent="0.25">
      <c r="A43" s="25">
        <f t="shared" si="4"/>
        <v>2005</v>
      </c>
      <c r="B43">
        <f t="shared" si="0"/>
        <v>21</v>
      </c>
      <c r="D43" s="28">
        <f t="shared" si="1"/>
        <v>0</v>
      </c>
      <c r="E43" s="20">
        <f t="shared" si="2"/>
        <v>0</v>
      </c>
      <c r="F43" s="20">
        <f t="shared" si="5"/>
        <v>0</v>
      </c>
      <c r="G43" s="20">
        <f t="shared" si="6"/>
        <v>0</v>
      </c>
      <c r="H43" s="21">
        <f t="shared" si="3"/>
        <v>0.998</v>
      </c>
    </row>
    <row r="44" spans="1:8" x14ac:dyDescent="0.25">
      <c r="A44" s="25">
        <f t="shared" si="4"/>
        <v>2006</v>
      </c>
      <c r="B44">
        <f t="shared" si="0"/>
        <v>22</v>
      </c>
      <c r="D44" s="28">
        <f t="shared" si="1"/>
        <v>0</v>
      </c>
      <c r="E44" s="20">
        <f t="shared" si="2"/>
        <v>0</v>
      </c>
      <c r="F44" s="20">
        <f t="shared" si="5"/>
        <v>0</v>
      </c>
      <c r="G44" s="20">
        <f t="shared" si="6"/>
        <v>0</v>
      </c>
      <c r="H44" s="21">
        <f t="shared" si="3"/>
        <v>0.998</v>
      </c>
    </row>
    <row r="45" spans="1:8" x14ac:dyDescent="0.25">
      <c r="A45" s="25">
        <f t="shared" si="4"/>
        <v>2007</v>
      </c>
      <c r="B45">
        <f t="shared" si="0"/>
        <v>23</v>
      </c>
      <c r="D45" s="28">
        <f t="shared" si="1"/>
        <v>0</v>
      </c>
      <c r="E45" s="20">
        <f t="shared" si="2"/>
        <v>0</v>
      </c>
      <c r="F45" s="20">
        <f t="shared" si="5"/>
        <v>0</v>
      </c>
      <c r="G45" s="20">
        <f t="shared" si="6"/>
        <v>0</v>
      </c>
      <c r="H45" s="21">
        <f t="shared" si="3"/>
        <v>0.998</v>
      </c>
    </row>
    <row r="46" spans="1:8" x14ac:dyDescent="0.25">
      <c r="A46" s="25">
        <f t="shared" si="4"/>
        <v>2008</v>
      </c>
      <c r="B46">
        <f t="shared" si="0"/>
        <v>24</v>
      </c>
      <c r="D46" s="28">
        <f t="shared" si="1"/>
        <v>0</v>
      </c>
      <c r="E46" s="20">
        <f t="shared" si="2"/>
        <v>0</v>
      </c>
      <c r="F46" s="20">
        <f t="shared" si="5"/>
        <v>0</v>
      </c>
      <c r="G46" s="20">
        <f t="shared" si="6"/>
        <v>0</v>
      </c>
      <c r="H46" s="21">
        <f t="shared" si="3"/>
        <v>0.998</v>
      </c>
    </row>
    <row r="47" spans="1:8" x14ac:dyDescent="0.25">
      <c r="A47" s="25">
        <f t="shared" si="4"/>
        <v>2009</v>
      </c>
      <c r="B47">
        <f t="shared" si="0"/>
        <v>25</v>
      </c>
      <c r="D47" s="28">
        <f t="shared" si="1"/>
        <v>0</v>
      </c>
      <c r="E47" s="20">
        <f t="shared" si="2"/>
        <v>0</v>
      </c>
      <c r="F47" s="20">
        <f t="shared" si="5"/>
        <v>0</v>
      </c>
      <c r="G47" s="20">
        <f t="shared" si="6"/>
        <v>0</v>
      </c>
      <c r="H47" s="21">
        <f t="shared" si="3"/>
        <v>0.998</v>
      </c>
    </row>
    <row r="48" spans="1:8" x14ac:dyDescent="0.25">
      <c r="A48" s="25">
        <f t="shared" si="4"/>
        <v>2010</v>
      </c>
      <c r="B48">
        <f t="shared" si="0"/>
        <v>26</v>
      </c>
      <c r="D48" s="28">
        <f t="shared" si="1"/>
        <v>2.3999808000768E-5</v>
      </c>
      <c r="E48" s="20">
        <f t="shared" si="2"/>
        <v>2.3999808000768E-5</v>
      </c>
      <c r="F48" s="20">
        <f t="shared" si="5"/>
        <v>2.3999808000768E-5</v>
      </c>
      <c r="G48" s="20">
        <f t="shared" si="6"/>
        <v>2.3999808000768E-5</v>
      </c>
      <c r="H48" s="21">
        <f t="shared" si="3"/>
        <v>0.99797604819161523</v>
      </c>
    </row>
    <row r="49" spans="1:8" x14ac:dyDescent="0.25">
      <c r="A49" s="25">
        <f t="shared" si="4"/>
        <v>2011</v>
      </c>
      <c r="B49">
        <f t="shared" si="0"/>
        <v>27</v>
      </c>
      <c r="D49" s="28">
        <f t="shared" si="1"/>
        <v>9.599385619660381E-5</v>
      </c>
      <c r="E49" s="20">
        <f t="shared" si="2"/>
        <v>1.1999366419737181E-4</v>
      </c>
      <c r="F49" s="20">
        <f t="shared" si="5"/>
        <v>9.599385619660381E-5</v>
      </c>
      <c r="G49" s="20">
        <f t="shared" si="6"/>
        <v>1.1999366419737181E-4</v>
      </c>
      <c r="H49" s="21">
        <f t="shared" si="3"/>
        <v>0.99788024632313099</v>
      </c>
    </row>
    <row r="50" spans="1:8" x14ac:dyDescent="0.25">
      <c r="A50" s="25">
        <f t="shared" si="4"/>
        <v>2012</v>
      </c>
      <c r="B50">
        <f t="shared" si="0"/>
        <v>28</v>
      </c>
      <c r="D50" s="28">
        <f t="shared" si="1"/>
        <v>2.1595334903848522E-4</v>
      </c>
      <c r="E50" s="20">
        <f t="shared" si="2"/>
        <v>3.3594701323585703E-4</v>
      </c>
      <c r="F50" s="20">
        <f t="shared" si="5"/>
        <v>2.1595334903848522E-4</v>
      </c>
      <c r="G50" s="20">
        <f t="shared" si="6"/>
        <v>3.3594701323585703E-4</v>
      </c>
      <c r="H50" s="21">
        <f t="shared" si="3"/>
        <v>0.99766472488079061</v>
      </c>
    </row>
    <row r="51" spans="1:8" x14ac:dyDescent="0.25">
      <c r="A51" s="25">
        <f t="shared" si="4"/>
        <v>2013</v>
      </c>
      <c r="B51">
        <f t="shared" si="0"/>
        <v>29</v>
      </c>
      <c r="D51" s="28">
        <f t="shared" si="1"/>
        <v>3.8380344232305915E-4</v>
      </c>
      <c r="E51" s="20">
        <f t="shared" si="2"/>
        <v>7.1975045555891623E-4</v>
      </c>
      <c r="F51" s="20">
        <f t="shared" si="5"/>
        <v>3.8380344232305915E-4</v>
      </c>
      <c r="G51" s="20">
        <f t="shared" si="6"/>
        <v>7.1975045555891623E-4</v>
      </c>
      <c r="H51" s="21">
        <f t="shared" si="3"/>
        <v>0.99728168904535219</v>
      </c>
    </row>
    <row r="52" spans="1:8" x14ac:dyDescent="0.25">
      <c r="A52" s="25">
        <f t="shared" si="4"/>
        <v>2014</v>
      </c>
      <c r="B52">
        <f t="shared" si="0"/>
        <v>30</v>
      </c>
      <c r="D52" s="28">
        <f t="shared" si="1"/>
        <v>5.994002999000251E-4</v>
      </c>
      <c r="E52" s="20">
        <f t="shared" si="2"/>
        <v>1.3191507554589413E-3</v>
      </c>
      <c r="F52" s="20">
        <f t="shared" si="5"/>
        <v>5.994002999000251E-4</v>
      </c>
      <c r="G52" s="20">
        <f t="shared" si="6"/>
        <v>1.3191507554589413E-3</v>
      </c>
      <c r="H52" s="21">
        <f t="shared" si="3"/>
        <v>0.99668348754605196</v>
      </c>
    </row>
    <row r="53" spans="1:8" x14ac:dyDescent="0.25">
      <c r="A53" s="25">
        <f t="shared" si="4"/>
        <v>2015</v>
      </c>
      <c r="B53">
        <f t="shared" si="0"/>
        <v>31</v>
      </c>
      <c r="D53" s="28">
        <f t="shared" si="1"/>
        <v>8.625082972024005E-4</v>
      </c>
      <c r="E53" s="20">
        <f t="shared" si="2"/>
        <v>2.1816590526613417E-3</v>
      </c>
      <c r="F53" s="20">
        <f t="shared" si="5"/>
        <v>8.625082972024005E-4</v>
      </c>
      <c r="G53" s="20">
        <f t="shared" si="6"/>
        <v>2.1816590526613417E-3</v>
      </c>
      <c r="H53" s="21">
        <f t="shared" si="3"/>
        <v>0.99582270426544395</v>
      </c>
    </row>
    <row r="54" spans="1:8" x14ac:dyDescent="0.25">
      <c r="A54" s="25">
        <f t="shared" si="4"/>
        <v>2016</v>
      </c>
      <c r="B54">
        <f t="shared" si="0"/>
        <v>32</v>
      </c>
      <c r="D54" s="28">
        <f t="shared" si="1"/>
        <v>1.1727774793203795E-3</v>
      </c>
      <c r="E54" s="20">
        <f t="shared" si="2"/>
        <v>3.3544365319817214E-3</v>
      </c>
      <c r="F54" s="20">
        <f t="shared" si="5"/>
        <v>1.1727774793203795E-3</v>
      </c>
      <c r="G54" s="20">
        <f t="shared" si="6"/>
        <v>3.3544365319817214E-3</v>
      </c>
      <c r="H54" s="21">
        <f t="shared" si="3"/>
        <v>0.99465227234108222</v>
      </c>
    </row>
    <row r="55" spans="1:8" x14ac:dyDescent="0.25">
      <c r="A55" s="25">
        <f t="shared" si="4"/>
        <v>2017</v>
      </c>
      <c r="B55">
        <f t="shared" ref="B55:B86" si="7">A55-mfr_yr</f>
        <v>33</v>
      </c>
      <c r="D55" s="28">
        <f t="shared" si="1"/>
        <v>1.5297214113277017E-3</v>
      </c>
      <c r="E55" s="20">
        <f t="shared" ref="E55:E86" si="8">IF((B55&gt;=ups),IF(E54+D55&gt;1,1,E54+D55),0)</f>
        <v>4.8841579433094228E-3</v>
      </c>
      <c r="F55" s="20">
        <f t="shared" si="5"/>
        <v>1.5297214113277017E-3</v>
      </c>
      <c r="G55" s="20">
        <f t="shared" si="6"/>
        <v>4.8841579433094228E-3</v>
      </c>
      <c r="H55" s="21">
        <f t="shared" ref="H55:H86" si="9">IF(B55&lt;=(ups+margin),alloc,IF(F55&gt;0,H54-alloc*F55,0))</f>
        <v>0.99312561037257718</v>
      </c>
    </row>
    <row r="56" spans="1:8" x14ac:dyDescent="0.25">
      <c r="A56" s="25">
        <f t="shared" si="4"/>
        <v>2018</v>
      </c>
      <c r="B56">
        <f t="shared" si="7"/>
        <v>34</v>
      </c>
      <c r="D56" s="28">
        <f t="shared" si="1"/>
        <v>1.9326955877069119E-3</v>
      </c>
      <c r="E56" s="20">
        <f t="shared" si="8"/>
        <v>6.8168535310163345E-3</v>
      </c>
      <c r="F56" s="20">
        <f t="shared" ref="F56:F87" si="10">IF(B56&lt;ups+margin,0,IF(B56&gt;(2*eta+ups+margin),0,((beta/eta)*(((B56-ups-margin)/eta)^(beta-1))*(EXP(-1*(((B56-ups-margin)/eta)^beta))))))</f>
        <v>1.9326955877069119E-3</v>
      </c>
      <c r="G56" s="20">
        <f t="shared" ref="G56:G87" si="11">IF(B56&lt;=ups+margin,0,IF(F56=0,1,G55+F56))</f>
        <v>6.8168535310163345E-3</v>
      </c>
      <c r="H56" s="21">
        <f t="shared" si="9"/>
        <v>0.99119678017604573</v>
      </c>
    </row>
    <row r="57" spans="1:8" x14ac:dyDescent="0.25">
      <c r="A57" s="25">
        <f t="shared" si="4"/>
        <v>2019</v>
      </c>
      <c r="B57">
        <f t="shared" si="7"/>
        <v>35</v>
      </c>
      <c r="D57" s="28">
        <f t="shared" si="1"/>
        <v>2.3808765956089459E-3</v>
      </c>
      <c r="E57" s="20">
        <f t="shared" si="8"/>
        <v>9.1977301266252809E-3</v>
      </c>
      <c r="F57" s="20">
        <f t="shared" si="10"/>
        <v>2.3808765956089459E-3</v>
      </c>
      <c r="G57" s="20">
        <f t="shared" si="11"/>
        <v>9.1977301266252809E-3</v>
      </c>
      <c r="H57" s="21">
        <f t="shared" si="9"/>
        <v>0.988820665333628</v>
      </c>
    </row>
    <row r="58" spans="1:8" x14ac:dyDescent="0.25">
      <c r="A58" s="25">
        <f t="shared" si="4"/>
        <v>2020</v>
      </c>
      <c r="B58">
        <f t="shared" si="7"/>
        <v>36</v>
      </c>
      <c r="D58" s="28">
        <f t="shared" si="1"/>
        <v>2.8732422528544551E-3</v>
      </c>
      <c r="E58" s="20">
        <f t="shared" si="8"/>
        <v>1.2070972379479735E-2</v>
      </c>
      <c r="F58" s="20">
        <f t="shared" si="10"/>
        <v>2.8732422528544551E-3</v>
      </c>
      <c r="G58" s="20">
        <f t="shared" si="11"/>
        <v>1.2070972379479735E-2</v>
      </c>
      <c r="H58" s="21">
        <f t="shared" si="9"/>
        <v>0.98595316956527923</v>
      </c>
    </row>
    <row r="59" spans="1:8" x14ac:dyDescent="0.25">
      <c r="A59" s="25">
        <f t="shared" si="4"/>
        <v>2021</v>
      </c>
      <c r="B59">
        <f t="shared" si="7"/>
        <v>37</v>
      </c>
      <c r="D59" s="28">
        <f t="shared" si="1"/>
        <v>3.4085529655058081E-3</v>
      </c>
      <c r="E59" s="20">
        <f t="shared" si="8"/>
        <v>1.5479525344985543E-2</v>
      </c>
      <c r="F59" s="20">
        <f t="shared" si="10"/>
        <v>3.4085529655058081E-3</v>
      </c>
      <c r="G59" s="20">
        <f t="shared" si="11"/>
        <v>1.5479525344985543E-2</v>
      </c>
      <c r="H59" s="21">
        <f t="shared" si="9"/>
        <v>0.98255143370570441</v>
      </c>
    </row>
    <row r="60" spans="1:8" x14ac:dyDescent="0.25">
      <c r="A60" s="25">
        <f t="shared" si="4"/>
        <v>2022</v>
      </c>
      <c r="B60">
        <f t="shared" si="7"/>
        <v>38</v>
      </c>
      <c r="D60" s="28">
        <f t="shared" si="1"/>
        <v>3.9853345709202096E-3</v>
      </c>
      <c r="E60" s="20">
        <f t="shared" si="8"/>
        <v>1.9464859915905752E-2</v>
      </c>
      <c r="F60" s="20">
        <f t="shared" si="10"/>
        <v>3.9853345709202096E-3</v>
      </c>
      <c r="G60" s="20">
        <f t="shared" si="11"/>
        <v>1.9464859915905752E-2</v>
      </c>
      <c r="H60" s="21">
        <f t="shared" si="9"/>
        <v>0.97857406980392603</v>
      </c>
    </row>
    <row r="61" spans="1:8" x14ac:dyDescent="0.25">
      <c r="A61" s="25">
        <f t="shared" si="4"/>
        <v>2023</v>
      </c>
      <c r="B61">
        <f t="shared" si="7"/>
        <v>39</v>
      </c>
      <c r="D61" s="28">
        <f t="shared" si="1"/>
        <v>4.601862949801222E-3</v>
      </c>
      <c r="E61" s="20">
        <f t="shared" si="8"/>
        <v>2.4066722865706974E-2</v>
      </c>
      <c r="F61" s="20">
        <f t="shared" si="10"/>
        <v>4.601862949801222E-3</v>
      </c>
      <c r="G61" s="20">
        <f t="shared" si="11"/>
        <v>2.4066722865706974E-2</v>
      </c>
      <c r="H61" s="21">
        <f t="shared" si="9"/>
        <v>0.97398141058002441</v>
      </c>
    </row>
    <row r="62" spans="1:8" x14ac:dyDescent="0.25">
      <c r="A62" s="25">
        <f t="shared" si="4"/>
        <v>2024</v>
      </c>
      <c r="B62">
        <f t="shared" si="7"/>
        <v>40</v>
      </c>
      <c r="D62" s="28">
        <f t="shared" si="1"/>
        <v>5.2561507042314182E-3</v>
      </c>
      <c r="E62" s="20">
        <f t="shared" si="8"/>
        <v>2.9322873569938391E-2</v>
      </c>
      <c r="F62" s="20">
        <f t="shared" si="10"/>
        <v>5.2561507042314182E-3</v>
      </c>
      <c r="G62" s="20">
        <f t="shared" si="11"/>
        <v>2.9322873569938391E-2</v>
      </c>
      <c r="H62" s="21">
        <f t="shared" si="9"/>
        <v>0.96873577217720142</v>
      </c>
    </row>
    <row r="63" spans="1:8" x14ac:dyDescent="0.25">
      <c r="A63" s="25">
        <f t="shared" si="4"/>
        <v>2025</v>
      </c>
      <c r="B63">
        <f t="shared" si="7"/>
        <v>41</v>
      </c>
      <c r="D63" s="28">
        <f t="shared" si="1"/>
        <v>5.9459362073104472E-3</v>
      </c>
      <c r="E63" s="20">
        <f t="shared" si="8"/>
        <v>3.526880977724884E-2</v>
      </c>
      <c r="F63" s="20">
        <f t="shared" si="10"/>
        <v>5.9459362073104472E-3</v>
      </c>
      <c r="G63" s="20">
        <f t="shared" si="11"/>
        <v>3.526880977724884E-2</v>
      </c>
      <c r="H63" s="21">
        <f t="shared" si="9"/>
        <v>0.96280172784230555</v>
      </c>
    </row>
    <row r="64" spans="1:8" x14ac:dyDescent="0.25">
      <c r="A64" s="25">
        <f t="shared" si="4"/>
        <v>2026</v>
      </c>
      <c r="B64">
        <f t="shared" si="7"/>
        <v>42</v>
      </c>
      <c r="D64" s="28">
        <f t="shared" si="1"/>
        <v>6.6686753331605423E-3</v>
      </c>
      <c r="E64" s="20">
        <f t="shared" si="8"/>
        <v>4.193748511040938E-2</v>
      </c>
      <c r="F64" s="20">
        <f t="shared" si="10"/>
        <v>6.6686753331605423E-3</v>
      </c>
      <c r="G64" s="20">
        <f t="shared" si="11"/>
        <v>4.193748511040938E-2</v>
      </c>
      <c r="H64" s="21">
        <f t="shared" si="9"/>
        <v>0.95614638985981137</v>
      </c>
    </row>
    <row r="65" spans="1:8" x14ac:dyDescent="0.25">
      <c r="A65" s="25">
        <f t="shared" si="4"/>
        <v>2027</v>
      </c>
      <c r="B65">
        <f t="shared" si="7"/>
        <v>43</v>
      </c>
      <c r="D65" s="28">
        <f t="shared" si="1"/>
        <v>7.4215361730391458E-3</v>
      </c>
      <c r="E65" s="20">
        <f t="shared" si="8"/>
        <v>4.9359021283448525E-2</v>
      </c>
      <c r="F65" s="20">
        <f t="shared" si="10"/>
        <v>7.4215361730391458E-3</v>
      </c>
      <c r="G65" s="20">
        <f t="shared" si="11"/>
        <v>4.9359021283448525E-2</v>
      </c>
      <c r="H65" s="21">
        <f t="shared" si="9"/>
        <v>0.94873969675911829</v>
      </c>
    </row>
    <row r="66" spans="1:8" x14ac:dyDescent="0.25">
      <c r="A66" s="25">
        <f t="shared" si="4"/>
        <v>2028</v>
      </c>
      <c r="B66">
        <f t="shared" si="7"/>
        <v>44</v>
      </c>
      <c r="D66" s="28">
        <f t="shared" si="1"/>
        <v>8.2013970335062941E-3</v>
      </c>
      <c r="E66" s="20">
        <f t="shared" si="8"/>
        <v>5.7560418316954819E-2</v>
      </c>
      <c r="F66" s="20">
        <f t="shared" si="10"/>
        <v>8.2013970335062941E-3</v>
      </c>
      <c r="G66" s="20">
        <f t="shared" si="11"/>
        <v>5.7560418316954819E-2</v>
      </c>
      <c r="H66" s="21">
        <f t="shared" si="9"/>
        <v>0.94055470251967899</v>
      </c>
    </row>
    <row r="67" spans="1:8" x14ac:dyDescent="0.25">
      <c r="A67" s="25">
        <f t="shared" si="4"/>
        <v>2029</v>
      </c>
      <c r="B67">
        <f t="shared" si="7"/>
        <v>45</v>
      </c>
      <c r="D67" s="28">
        <f t="shared" si="1"/>
        <v>9.004847995495004E-3</v>
      </c>
      <c r="E67" s="20">
        <f t="shared" si="8"/>
        <v>6.6565266312449828E-2</v>
      </c>
      <c r="F67" s="20">
        <f t="shared" si="10"/>
        <v>9.004847995495004E-3</v>
      </c>
      <c r="G67" s="20">
        <f t="shared" si="11"/>
        <v>6.6565266312449828E-2</v>
      </c>
      <c r="H67" s="21">
        <f t="shared" si="9"/>
        <v>0.93156786422017501</v>
      </c>
    </row>
    <row r="68" spans="1:8" x14ac:dyDescent="0.25">
      <c r="A68" s="25">
        <f t="shared" si="4"/>
        <v>2030</v>
      </c>
      <c r="B68">
        <f t="shared" si="7"/>
        <v>46</v>
      </c>
      <c r="D68" s="28">
        <f t="shared" si="1"/>
        <v>9.8281962882869195E-3</v>
      </c>
      <c r="E68" s="20">
        <f t="shared" si="8"/>
        <v>7.6393462600736747E-2</v>
      </c>
      <c r="F68" s="20">
        <f t="shared" si="10"/>
        <v>9.8281962882869195E-3</v>
      </c>
      <c r="G68" s="20">
        <f t="shared" si="11"/>
        <v>7.6393462600736747E-2</v>
      </c>
      <c r="H68" s="21">
        <f t="shared" si="9"/>
        <v>0.92175932432446461</v>
      </c>
    </row>
    <row r="69" spans="1:8" x14ac:dyDescent="0.25">
      <c r="A69" s="25">
        <f t="shared" si="4"/>
        <v>2031</v>
      </c>
      <c r="B69">
        <f t="shared" si="7"/>
        <v>47</v>
      </c>
      <c r="D69" s="28">
        <f t="shared" si="1"/>
        <v>1.0667475699488518E-2</v>
      </c>
      <c r="E69" s="20">
        <f t="shared" si="8"/>
        <v>8.7060938300225266E-2</v>
      </c>
      <c r="F69" s="20">
        <f t="shared" si="10"/>
        <v>1.0667475699488518E-2</v>
      </c>
      <c r="G69" s="20">
        <f t="shared" si="11"/>
        <v>8.7060938300225266E-2</v>
      </c>
      <c r="H69" s="21">
        <f t="shared" si="9"/>
        <v>0.91111318357637505</v>
      </c>
    </row>
    <row r="70" spans="1:8" x14ac:dyDescent="0.25">
      <c r="A70" s="25">
        <f t="shared" si="4"/>
        <v>2032</v>
      </c>
      <c r="B70">
        <f t="shared" si="7"/>
        <v>48</v>
      </c>
      <c r="D70" s="28">
        <f t="shared" si="1"/>
        <v>1.1518460200973633E-2</v>
      </c>
      <c r="E70" s="20">
        <f t="shared" si="8"/>
        <v>9.85793985011989E-2</v>
      </c>
      <c r="F70" s="20">
        <f t="shared" si="10"/>
        <v>1.1518460200973633E-2</v>
      </c>
      <c r="G70" s="20">
        <f t="shared" si="11"/>
        <v>9.85793985011989E-2</v>
      </c>
      <c r="H70" s="21">
        <f t="shared" si="9"/>
        <v>0.89961776029580331</v>
      </c>
    </row>
    <row r="71" spans="1:8" x14ac:dyDescent="0.25">
      <c r="A71" s="25">
        <f t="shared" si="4"/>
        <v>2033</v>
      </c>
      <c r="B71">
        <f t="shared" si="7"/>
        <v>49</v>
      </c>
      <c r="D71" s="28">
        <f t="shared" si="1"/>
        <v>1.2376681921422959E-2</v>
      </c>
      <c r="E71" s="20">
        <f t="shared" si="8"/>
        <v>0.11095608042262187</v>
      </c>
      <c r="F71" s="20">
        <f t="shared" si="10"/>
        <v>1.2376681921422959E-2</v>
      </c>
      <c r="G71" s="20">
        <f t="shared" si="11"/>
        <v>0.11095608042262187</v>
      </c>
      <c r="H71" s="21">
        <f t="shared" si="9"/>
        <v>0.88726583173822315</v>
      </c>
    </row>
    <row r="72" spans="1:8" x14ac:dyDescent="0.25">
      <c r="A72" s="25">
        <f t="shared" si="4"/>
        <v>2034</v>
      </c>
      <c r="B72">
        <f t="shared" si="7"/>
        <v>50</v>
      </c>
      <c r="D72" s="28">
        <f t="shared" si="1"/>
        <v>1.3237453538768932E-2</v>
      </c>
      <c r="E72" s="20">
        <f t="shared" si="8"/>
        <v>0.1241935339613908</v>
      </c>
      <c r="F72" s="20">
        <f t="shared" si="10"/>
        <v>1.3237453538768932E-2</v>
      </c>
      <c r="G72" s="20">
        <f t="shared" si="11"/>
        <v>0.1241935339613908</v>
      </c>
      <c r="H72" s="21">
        <f t="shared" si="9"/>
        <v>0.87405485310653175</v>
      </c>
    </row>
    <row r="73" spans="1:8" x14ac:dyDescent="0.25">
      <c r="A73" s="25">
        <f t="shared" si="4"/>
        <v>2035</v>
      </c>
      <c r="B73">
        <f t="shared" si="7"/>
        <v>51</v>
      </c>
      <c r="D73" s="28">
        <f t="shared" si="1"/>
        <v>1.4095895100988241E-2</v>
      </c>
      <c r="E73" s="20">
        <f t="shared" si="8"/>
        <v>0.13828942906237904</v>
      </c>
      <c r="F73" s="20">
        <f t="shared" si="10"/>
        <v>1.4095895100988241E-2</v>
      </c>
      <c r="G73" s="20">
        <f t="shared" si="11"/>
        <v>0.13828942906237904</v>
      </c>
      <c r="H73" s="21">
        <f t="shared" si="9"/>
        <v>0.85998714979574553</v>
      </c>
    </row>
    <row r="74" spans="1:8" x14ac:dyDescent="0.25">
      <c r="A74" s="25">
        <f t="shared" si="4"/>
        <v>2036</v>
      </c>
      <c r="B74">
        <f t="shared" si="7"/>
        <v>52</v>
      </c>
      <c r="D74" s="28">
        <f t="shared" si="1"/>
        <v>1.4946965211956072E-2</v>
      </c>
      <c r="E74" s="20">
        <f t="shared" si="8"/>
        <v>0.15323639427433511</v>
      </c>
      <c r="F74" s="20">
        <f t="shared" si="10"/>
        <v>1.4946965211956072E-2</v>
      </c>
      <c r="G74" s="20">
        <f t="shared" si="11"/>
        <v>0.15323639427433511</v>
      </c>
      <c r="H74" s="21">
        <f t="shared" si="9"/>
        <v>0.84507007851421334</v>
      </c>
    </row>
    <row r="75" spans="1:8" x14ac:dyDescent="0.25">
      <c r="A75" s="25">
        <f t="shared" si="4"/>
        <v>2037</v>
      </c>
      <c r="B75">
        <f t="shared" si="7"/>
        <v>53</v>
      </c>
      <c r="D75" s="28">
        <f t="shared" si="1"/>
        <v>1.5785496441419765E-2</v>
      </c>
      <c r="E75" s="20">
        <f t="shared" si="8"/>
        <v>0.16902189071575488</v>
      </c>
      <c r="F75" s="20">
        <f t="shared" si="10"/>
        <v>1.5785496441419765E-2</v>
      </c>
      <c r="G75" s="20">
        <f t="shared" si="11"/>
        <v>0.16902189071575488</v>
      </c>
      <c r="H75" s="21">
        <f t="shared" si="9"/>
        <v>0.82931615306567641</v>
      </c>
    </row>
    <row r="76" spans="1:8" x14ac:dyDescent="0.25">
      <c r="A76" s="25">
        <f t="shared" si="4"/>
        <v>2038</v>
      </c>
      <c r="B76">
        <f t="shared" si="7"/>
        <v>54</v>
      </c>
      <c r="D76" s="28">
        <f t="shared" si="1"/>
        <v>1.6606234735754077E-2</v>
      </c>
      <c r="E76" s="20">
        <f t="shared" si="8"/>
        <v>0.18562812545150895</v>
      </c>
      <c r="F76" s="20">
        <f t="shared" si="10"/>
        <v>1.6606234735754077E-2</v>
      </c>
      <c r="G76" s="20">
        <f t="shared" si="11"/>
        <v>0.18562812545150895</v>
      </c>
      <c r="H76" s="21">
        <f t="shared" si="9"/>
        <v>0.81274313079939386</v>
      </c>
    </row>
    <row r="77" spans="1:8" x14ac:dyDescent="0.25">
      <c r="A77" s="25">
        <f t="shared" si="4"/>
        <v>2039</v>
      </c>
      <c r="B77">
        <f t="shared" si="7"/>
        <v>55</v>
      </c>
      <c r="D77" s="28">
        <f t="shared" si="1"/>
        <v>1.7403882520467158E-2</v>
      </c>
      <c r="E77" s="20">
        <f t="shared" si="8"/>
        <v>0.2030320079719761</v>
      </c>
      <c r="F77" s="20">
        <f t="shared" si="10"/>
        <v>1.7403882520467158E-2</v>
      </c>
      <c r="G77" s="20">
        <f t="shared" si="11"/>
        <v>0.2030320079719761</v>
      </c>
      <c r="H77" s="21">
        <f t="shared" si="9"/>
        <v>0.7953740560439676</v>
      </c>
    </row>
    <row r="78" spans="1:8" x14ac:dyDescent="0.25">
      <c r="A78" s="25">
        <f t="shared" si="4"/>
        <v>2040</v>
      </c>
      <c r="B78">
        <f t="shared" si="7"/>
        <v>56</v>
      </c>
      <c r="D78" s="28">
        <f t="shared" si="1"/>
        <v>1.8173145098117828E-2</v>
      </c>
      <c r="E78" s="20">
        <f t="shared" si="8"/>
        <v>0.22120515307009392</v>
      </c>
      <c r="F78" s="20">
        <f t="shared" si="10"/>
        <v>1.8173145098117828E-2</v>
      </c>
      <c r="G78" s="20">
        <f t="shared" si="11"/>
        <v>0.22120515307009392</v>
      </c>
      <c r="H78" s="21">
        <f t="shared" si="9"/>
        <v>0.77723725723604598</v>
      </c>
    </row>
    <row r="79" spans="1:8" x14ac:dyDescent="0.25">
      <c r="A79" s="25">
        <f t="shared" si="4"/>
        <v>2041</v>
      </c>
      <c r="B79">
        <f t="shared" si="7"/>
        <v>57</v>
      </c>
      <c r="D79" s="28">
        <f t="shared" si="1"/>
        <v>1.8908779858282151E-2</v>
      </c>
      <c r="E79" s="20">
        <f t="shared" si="8"/>
        <v>0.24011393292837607</v>
      </c>
      <c r="F79" s="20">
        <f t="shared" si="10"/>
        <v>1.8908779858282151E-2</v>
      </c>
      <c r="G79" s="20">
        <f t="shared" si="11"/>
        <v>0.24011393292837607</v>
      </c>
      <c r="H79" s="21">
        <f t="shared" si="9"/>
        <v>0.75836629493748042</v>
      </c>
    </row>
    <row r="80" spans="1:8" x14ac:dyDescent="0.25">
      <c r="A80" s="25">
        <f t="shared" si="4"/>
        <v>2042</v>
      </c>
      <c r="B80">
        <f t="shared" si="7"/>
        <v>58</v>
      </c>
      <c r="D80" s="28">
        <f t="shared" si="1"/>
        <v>1.9605647731560465E-2</v>
      </c>
      <c r="E80" s="20">
        <f t="shared" si="8"/>
        <v>0.25971958065993656</v>
      </c>
      <c r="F80" s="20">
        <f t="shared" si="10"/>
        <v>1.9605647731560465E-2</v>
      </c>
      <c r="G80" s="20">
        <f t="shared" si="11"/>
        <v>0.25971958065993656</v>
      </c>
      <c r="H80" s="21">
        <f t="shared" si="9"/>
        <v>0.73879985850138308</v>
      </c>
    </row>
    <row r="81" spans="1:8" x14ac:dyDescent="0.25">
      <c r="A81" s="25">
        <f t="shared" si="4"/>
        <v>2043</v>
      </c>
      <c r="B81">
        <f t="shared" si="7"/>
        <v>59</v>
      </c>
      <c r="D81" s="28">
        <f t="shared" si="1"/>
        <v>2.0258766239581345E-2</v>
      </c>
      <c r="E81" s="20">
        <f t="shared" si="8"/>
        <v>0.27997834689951789</v>
      </c>
      <c r="F81" s="20">
        <f t="shared" si="10"/>
        <v>2.0258766239581345E-2</v>
      </c>
      <c r="G81" s="20">
        <f t="shared" si="11"/>
        <v>0.27997834689951789</v>
      </c>
      <c r="H81" s="21">
        <f t="shared" si="9"/>
        <v>0.71858160979428087</v>
      </c>
    </row>
    <row r="82" spans="1:8" x14ac:dyDescent="0.25">
      <c r="A82" s="25">
        <f t="shared" si="4"/>
        <v>2044</v>
      </c>
      <c r="B82">
        <f t="shared" si="7"/>
        <v>60</v>
      </c>
      <c r="D82" s="28">
        <f t="shared" si="1"/>
        <v>2.0863363419870131E-2</v>
      </c>
      <c r="E82" s="20">
        <f t="shared" si="8"/>
        <v>0.300841710319388</v>
      </c>
      <c r="F82" s="20">
        <f t="shared" si="10"/>
        <v>2.0863363419870131E-2</v>
      </c>
      <c r="G82" s="20">
        <f t="shared" si="11"/>
        <v>0.300841710319388</v>
      </c>
      <c r="H82" s="21">
        <f t="shared" si="9"/>
        <v>0.69775997310125049</v>
      </c>
    </row>
    <row r="83" spans="1:8" x14ac:dyDescent="0.25">
      <c r="A83" s="25">
        <f t="shared" si="4"/>
        <v>2045</v>
      </c>
      <c r="B83">
        <f t="shared" si="7"/>
        <v>61</v>
      </c>
      <c r="D83" s="28">
        <f t="shared" si="1"/>
        <v>2.1414931840675486E-2</v>
      </c>
      <c r="E83" s="20">
        <f t="shared" si="8"/>
        <v>0.3222566421600635</v>
      </c>
      <c r="F83" s="20">
        <f t="shared" si="10"/>
        <v>2.1414931840675486E-2</v>
      </c>
      <c r="G83" s="20">
        <f t="shared" si="11"/>
        <v>0.3222566421600635</v>
      </c>
      <c r="H83" s="21">
        <f t="shared" si="9"/>
        <v>0.67638787112425636</v>
      </c>
    </row>
    <row r="84" spans="1:8" x14ac:dyDescent="0.25">
      <c r="A84" s="25">
        <f t="shared" si="4"/>
        <v>2046</v>
      </c>
      <c r="B84">
        <f t="shared" si="7"/>
        <v>62</v>
      </c>
      <c r="D84" s="28">
        <f t="shared" si="1"/>
        <v>2.1909281868726333E-2</v>
      </c>
      <c r="E84" s="20">
        <f t="shared" si="8"/>
        <v>0.34416592402878982</v>
      </c>
      <c r="F84" s="20">
        <f t="shared" si="10"/>
        <v>2.1909281868726333E-2</v>
      </c>
      <c r="G84" s="20">
        <f t="shared" si="11"/>
        <v>0.34416592402878982</v>
      </c>
      <c r="H84" s="21">
        <f t="shared" si="9"/>
        <v>0.65452240781926752</v>
      </c>
    </row>
    <row r="85" spans="1:8" x14ac:dyDescent="0.25">
      <c r="A85" s="25">
        <f t="shared" si="4"/>
        <v>2047</v>
      </c>
      <c r="B85">
        <f t="shared" si="7"/>
        <v>63</v>
      </c>
      <c r="D85" s="28">
        <f t="shared" si="1"/>
        <v>2.2342593314655327E-2</v>
      </c>
      <c r="E85" s="20">
        <f t="shared" si="8"/>
        <v>0.36650851734344514</v>
      </c>
      <c r="F85" s="20">
        <f t="shared" si="10"/>
        <v>2.2342593314655327E-2</v>
      </c>
      <c r="G85" s="20">
        <f t="shared" si="11"/>
        <v>0.36650851734344514</v>
      </c>
      <c r="H85" s="21">
        <f t="shared" si="9"/>
        <v>0.6322244996912415</v>
      </c>
    </row>
    <row r="86" spans="1:8" x14ac:dyDescent="0.25">
      <c r="A86" s="25">
        <f t="shared" si="4"/>
        <v>2048</v>
      </c>
      <c r="B86">
        <f t="shared" si="7"/>
        <v>64</v>
      </c>
      <c r="D86" s="28">
        <f t="shared" si="1"/>
        <v>2.2711464558520734E-2</v>
      </c>
      <c r="E86" s="20">
        <f t="shared" si="8"/>
        <v>0.38921998190196588</v>
      </c>
      <c r="F86" s="20">
        <f t="shared" si="10"/>
        <v>2.2711464558520734E-2</v>
      </c>
      <c r="G86" s="20">
        <f t="shared" si="11"/>
        <v>0.38921998190196588</v>
      </c>
      <c r="H86" s="21">
        <f t="shared" si="9"/>
        <v>0.60955845806183784</v>
      </c>
    </row>
    <row r="87" spans="1:8" x14ac:dyDescent="0.25">
      <c r="A87" s="25">
        <f t="shared" si="4"/>
        <v>2049</v>
      </c>
      <c r="B87">
        <f t="shared" ref="B87:B118" si="12">A87-mfr_yr</f>
        <v>65</v>
      </c>
      <c r="D87" s="28">
        <f t="shared" ref="D87:D138" si="13">IF(B87&gt;=ups,((beta/eta)*(((B87-ups)/eta)^(beta-1))*(EXP(-1*(((B87-ups)/eta)^beta)))),0)</f>
        <v>2.3012958253268677E-2</v>
      </c>
      <c r="E87" s="20">
        <f t="shared" ref="E87:E118" si="14">IF((B87&gt;=ups),IF(E86+D87&gt;1,1,E86+D87),0)</f>
        <v>0.41223294015523454</v>
      </c>
      <c r="F87" s="20">
        <f t="shared" si="10"/>
        <v>2.3012958253268677E-2</v>
      </c>
      <c r="G87" s="20">
        <f t="shared" si="11"/>
        <v>0.41223294015523454</v>
      </c>
      <c r="H87" s="21">
        <f t="shared" ref="H87:H118" si="15">IF(B87&lt;=(ups+margin),alloc,IF(F87&gt;0,H86-alloc*F87,0))</f>
        <v>0.58659152572507567</v>
      </c>
    </row>
    <row r="88" spans="1:8" x14ac:dyDescent="0.25">
      <c r="A88" s="25">
        <f t="shared" ref="A88:A138" si="16">A87+1</f>
        <v>2050</v>
      </c>
      <c r="B88">
        <f t="shared" si="12"/>
        <v>66</v>
      </c>
      <c r="D88" s="28">
        <f t="shared" si="13"/>
        <v>2.3244642718538738E-2</v>
      </c>
      <c r="E88" s="20">
        <f t="shared" si="14"/>
        <v>0.43547758287377325</v>
      </c>
      <c r="F88" s="20">
        <f t="shared" ref="F88:F119" si="17">IF(B88&lt;ups+margin,0,IF(B88&gt;(2*eta+ups+margin),0,((beta/eta)*(((B88-ups-margin)/eta)^(beta-1))*(EXP(-1*(((B88-ups-margin)/eta)^beta))))))</f>
        <v>2.3244642718538738E-2</v>
      </c>
      <c r="G88" s="20">
        <f t="shared" ref="G88:G119" si="18">IF(B88&lt;=ups+margin,0,IF(F88=0,1,G87+F88))</f>
        <v>0.43547758287377325</v>
      </c>
      <c r="H88" s="21">
        <f t="shared" si="15"/>
        <v>0.56339337229197406</v>
      </c>
    </row>
    <row r="89" spans="1:8" x14ac:dyDescent="0.25">
      <c r="A89" s="25">
        <f t="shared" si="16"/>
        <v>2051</v>
      </c>
      <c r="B89">
        <f t="shared" si="12"/>
        <v>67</v>
      </c>
      <c r="D89" s="28">
        <f t="shared" si="13"/>
        <v>2.3404628171943453E-2</v>
      </c>
      <c r="E89" s="20">
        <f t="shared" si="14"/>
        <v>0.45888221104571669</v>
      </c>
      <c r="F89" s="20">
        <f t="shared" si="17"/>
        <v>2.3404628171943453E-2</v>
      </c>
      <c r="G89" s="20">
        <f t="shared" si="18"/>
        <v>0.45888221104571669</v>
      </c>
      <c r="H89" s="21">
        <f t="shared" si="15"/>
        <v>0.54003555337637454</v>
      </c>
    </row>
    <row r="90" spans="1:8" x14ac:dyDescent="0.25">
      <c r="A90" s="25">
        <f t="shared" si="16"/>
        <v>2052</v>
      </c>
      <c r="B90">
        <f t="shared" si="12"/>
        <v>68</v>
      </c>
      <c r="D90" s="28">
        <f t="shared" si="13"/>
        <v>2.3491597000373496E-2</v>
      </c>
      <c r="E90" s="20">
        <f t="shared" si="14"/>
        <v>0.4823738080460902</v>
      </c>
      <c r="F90" s="20">
        <f t="shared" si="17"/>
        <v>2.3491597000373496E-2</v>
      </c>
      <c r="G90" s="20">
        <f t="shared" si="18"/>
        <v>0.4823738080460902</v>
      </c>
      <c r="H90" s="21">
        <f t="shared" si="15"/>
        <v>0.51659093957000179</v>
      </c>
    </row>
    <row r="91" spans="1:8" x14ac:dyDescent="0.25">
      <c r="A91" s="25">
        <f t="shared" si="16"/>
        <v>2053</v>
      </c>
      <c r="B91">
        <f t="shared" si="12"/>
        <v>69</v>
      </c>
      <c r="D91" s="28">
        <f t="shared" si="13"/>
        <v>2.3504827349974285E-2</v>
      </c>
      <c r="E91" s="20">
        <f t="shared" si="14"/>
        <v>0.50587863539606448</v>
      </c>
      <c r="F91" s="20">
        <f t="shared" si="17"/>
        <v>2.3504827349974285E-2</v>
      </c>
      <c r="G91" s="20">
        <f t="shared" si="18"/>
        <v>0.50587863539606448</v>
      </c>
      <c r="H91" s="21">
        <f t="shared" si="15"/>
        <v>0.49313312187472746</v>
      </c>
    </row>
    <row r="92" spans="1:8" x14ac:dyDescent="0.25">
      <c r="A92" s="25">
        <f t="shared" si="16"/>
        <v>2054</v>
      </c>
      <c r="B92">
        <f t="shared" si="12"/>
        <v>70</v>
      </c>
      <c r="D92" s="28">
        <f t="shared" si="13"/>
        <v>2.3444209409595122E-2</v>
      </c>
      <c r="E92" s="20">
        <f t="shared" si="14"/>
        <v>0.52932284480565961</v>
      </c>
      <c r="F92" s="20">
        <f t="shared" si="17"/>
        <v>2.3444209409595122E-2</v>
      </c>
      <c r="G92" s="20">
        <f t="shared" si="18"/>
        <v>0.52932284480565961</v>
      </c>
      <c r="H92" s="21">
        <f t="shared" si="15"/>
        <v>0.4697358008839515</v>
      </c>
    </row>
    <row r="93" spans="1:8" x14ac:dyDescent="0.25">
      <c r="A93" s="25">
        <f t="shared" si="16"/>
        <v>2055</v>
      </c>
      <c r="B93">
        <f t="shared" si="12"/>
        <v>71</v>
      </c>
      <c r="D93" s="28">
        <f t="shared" si="13"/>
        <v>2.3310253877500044E-2</v>
      </c>
      <c r="E93" s="20">
        <f t="shared" si="14"/>
        <v>0.55263309868315968</v>
      </c>
      <c r="F93" s="20">
        <f t="shared" si="17"/>
        <v>2.3310253877500044E-2</v>
      </c>
      <c r="G93" s="20">
        <f t="shared" si="18"/>
        <v>0.55263309868315968</v>
      </c>
      <c r="H93" s="21">
        <f t="shared" si="15"/>
        <v>0.44647216751420649</v>
      </c>
    </row>
    <row r="94" spans="1:8" x14ac:dyDescent="0.25">
      <c r="A94" s="25">
        <f t="shared" si="16"/>
        <v>2056</v>
      </c>
      <c r="B94">
        <f t="shared" si="12"/>
        <v>72</v>
      </c>
      <c r="D94" s="28">
        <f t="shared" si="13"/>
        <v>2.3104092233096684E-2</v>
      </c>
      <c r="E94" s="20">
        <f t="shared" si="14"/>
        <v>0.57573719091625641</v>
      </c>
      <c r="F94" s="20">
        <f t="shared" si="17"/>
        <v>2.3104092233096684E-2</v>
      </c>
      <c r="G94" s="20">
        <f t="shared" si="18"/>
        <v>0.57573719091625641</v>
      </c>
      <c r="H94" s="21">
        <f t="shared" si="15"/>
        <v>0.42341428346557597</v>
      </c>
    </row>
    <row r="95" spans="1:8" x14ac:dyDescent="0.25">
      <c r="A95" s="25">
        <f t="shared" si="16"/>
        <v>2057</v>
      </c>
      <c r="B95">
        <f t="shared" si="12"/>
        <v>73</v>
      </c>
      <c r="D95" s="28">
        <f t="shared" si="13"/>
        <v>2.282746858192233E-2</v>
      </c>
      <c r="E95" s="20">
        <f t="shared" si="14"/>
        <v>0.59856465949817872</v>
      </c>
      <c r="F95" s="20">
        <f t="shared" si="17"/>
        <v>2.282746858192233E-2</v>
      </c>
      <c r="G95" s="20">
        <f t="shared" si="18"/>
        <v>0.59856465949817872</v>
      </c>
      <c r="H95" s="21">
        <f t="shared" si="15"/>
        <v>0.40063246982081746</v>
      </c>
    </row>
    <row r="96" spans="1:8" x14ac:dyDescent="0.25">
      <c r="A96" s="25">
        <f t="shared" si="16"/>
        <v>2058</v>
      </c>
      <c r="B96">
        <f t="shared" si="12"/>
        <v>74</v>
      </c>
      <c r="D96" s="28">
        <f t="shared" si="13"/>
        <v>2.2482723000089168E-2</v>
      </c>
      <c r="E96" s="20">
        <f t="shared" si="14"/>
        <v>0.62104738249826785</v>
      </c>
      <c r="F96" s="20">
        <f t="shared" si="17"/>
        <v>2.2482723000089168E-2</v>
      </c>
      <c r="G96" s="20">
        <f t="shared" si="18"/>
        <v>0.62104738249826785</v>
      </c>
      <c r="H96" s="21">
        <f t="shared" si="15"/>
        <v>0.37819471226672846</v>
      </c>
    </row>
    <row r="97" spans="1:8" x14ac:dyDescent="0.25">
      <c r="A97" s="25">
        <f t="shared" si="16"/>
        <v>2059</v>
      </c>
      <c r="B97">
        <f t="shared" si="12"/>
        <v>75</v>
      </c>
      <c r="D97" s="28">
        <f t="shared" si="13"/>
        <v>2.2072766470286539E-2</v>
      </c>
      <c r="E97" s="20">
        <f t="shared" si="14"/>
        <v>0.64312014896855441</v>
      </c>
      <c r="F97" s="20">
        <f t="shared" si="17"/>
        <v>2.2072766470286539E-2</v>
      </c>
      <c r="G97" s="20">
        <f t="shared" si="18"/>
        <v>0.64312014896855441</v>
      </c>
      <c r="H97" s="21">
        <f t="shared" si="15"/>
        <v>0.35616609132938248</v>
      </c>
    </row>
    <row r="98" spans="1:8" x14ac:dyDescent="0.25">
      <c r="A98" s="25">
        <f t="shared" si="16"/>
        <v>2060</v>
      </c>
      <c r="B98">
        <f t="shared" si="12"/>
        <v>76</v>
      </c>
      <c r="D98" s="28">
        <f t="shared" si="13"/>
        <v>2.16010476712927E-2</v>
      </c>
      <c r="E98" s="20">
        <f t="shared" si="14"/>
        <v>0.66472119663984708</v>
      </c>
      <c r="F98" s="20">
        <f t="shared" si="17"/>
        <v>2.16010476712927E-2</v>
      </c>
      <c r="G98" s="20">
        <f t="shared" si="18"/>
        <v>0.66472119663984708</v>
      </c>
      <c r="H98" s="21">
        <f t="shared" si="15"/>
        <v>0.3346082457534324</v>
      </c>
    </row>
    <row r="99" spans="1:8" x14ac:dyDescent="0.25">
      <c r="A99" s="25">
        <f t="shared" si="16"/>
        <v>2061</v>
      </c>
      <c r="B99">
        <f t="shared" si="12"/>
        <v>77</v>
      </c>
      <c r="D99" s="28">
        <f t="shared" si="13"/>
        <v>2.1071512052466091E-2</v>
      </c>
      <c r="E99" s="20">
        <f t="shared" si="14"/>
        <v>0.68579270869231312</v>
      </c>
      <c r="F99" s="20">
        <f t="shared" si="17"/>
        <v>2.1071512052466091E-2</v>
      </c>
      <c r="G99" s="20">
        <f t="shared" si="18"/>
        <v>0.68579270869231312</v>
      </c>
      <c r="H99" s="21">
        <f t="shared" si="15"/>
        <v>0.31357887672507123</v>
      </c>
    </row>
    <row r="100" spans="1:8" x14ac:dyDescent="0.25">
      <c r="A100" s="25">
        <f t="shared" si="16"/>
        <v>2062</v>
      </c>
      <c r="B100">
        <f t="shared" si="12"/>
        <v>78</v>
      </c>
      <c r="D100" s="28">
        <f t="shared" si="13"/>
        <v>2.0488553789372411E-2</v>
      </c>
      <c r="E100" s="20">
        <f t="shared" si="14"/>
        <v>0.70628126248168555</v>
      </c>
      <c r="F100" s="20">
        <f t="shared" si="17"/>
        <v>2.0488553789372411E-2</v>
      </c>
      <c r="G100" s="20">
        <f t="shared" si="18"/>
        <v>0.70628126248168555</v>
      </c>
      <c r="H100" s="21">
        <f t="shared" si="15"/>
        <v>0.29313130004327759</v>
      </c>
    </row>
    <row r="101" spans="1:8" x14ac:dyDescent="0.25">
      <c r="A101" s="25">
        <f t="shared" si="16"/>
        <v>2063</v>
      </c>
      <c r="B101">
        <f t="shared" si="12"/>
        <v>79</v>
      </c>
      <c r="D101" s="28">
        <f t="shared" si="13"/>
        <v>1.9856961372006217E-2</v>
      </c>
      <c r="E101" s="20">
        <f t="shared" si="14"/>
        <v>0.72613822385369176</v>
      </c>
      <c r="F101" s="20">
        <f t="shared" si="17"/>
        <v>1.9856961372006217E-2</v>
      </c>
      <c r="G101" s="20">
        <f t="shared" si="18"/>
        <v>0.72613822385369176</v>
      </c>
      <c r="H101" s="21">
        <f t="shared" si="15"/>
        <v>0.27331405259401537</v>
      </c>
    </row>
    <row r="102" spans="1:8" x14ac:dyDescent="0.25">
      <c r="A102" s="25">
        <f t="shared" si="16"/>
        <v>2064</v>
      </c>
      <c r="B102">
        <f t="shared" si="12"/>
        <v>80</v>
      </c>
      <c r="D102" s="28">
        <f t="shared" si="13"/>
        <v>1.9181857718522061E-2</v>
      </c>
      <c r="E102" s="20">
        <f t="shared" si="14"/>
        <v>0.74532008157221386</v>
      </c>
      <c r="F102" s="20">
        <f t="shared" si="17"/>
        <v>1.9181857718522061E-2</v>
      </c>
      <c r="G102" s="20">
        <f t="shared" si="18"/>
        <v>0.74532008157221386</v>
      </c>
      <c r="H102" s="21">
        <f t="shared" si="15"/>
        <v>0.25417055859093035</v>
      </c>
    </row>
    <row r="103" spans="1:8" x14ac:dyDescent="0.25">
      <c r="A103" s="25">
        <f t="shared" si="16"/>
        <v>2065</v>
      </c>
      <c r="B103">
        <f t="shared" si="12"/>
        <v>81</v>
      </c>
      <c r="D103" s="28">
        <f t="shared" si="13"/>
        <v>1.8468635830783304E-2</v>
      </c>
      <c r="E103" s="20">
        <f t="shared" si="14"/>
        <v>0.76378871740299714</v>
      </c>
      <c r="F103" s="20">
        <f t="shared" si="17"/>
        <v>1.8468635830783304E-2</v>
      </c>
      <c r="G103" s="20">
        <f t="shared" si="18"/>
        <v>0.76378871740299714</v>
      </c>
      <c r="H103" s="21">
        <f t="shared" si="15"/>
        <v>0.23573886003180861</v>
      </c>
    </row>
    <row r="104" spans="1:8" x14ac:dyDescent="0.25">
      <c r="A104" s="25">
        <f t="shared" si="16"/>
        <v>2066</v>
      </c>
      <c r="B104">
        <f t="shared" si="12"/>
        <v>82</v>
      </c>
      <c r="D104" s="28">
        <f t="shared" si="13"/>
        <v>1.7722891109547379E-2</v>
      </c>
      <c r="E104" s="20">
        <f t="shared" si="14"/>
        <v>0.78151160851254453</v>
      </c>
      <c r="F104" s="20">
        <f t="shared" si="17"/>
        <v>1.7722891109547379E-2</v>
      </c>
      <c r="G104" s="20">
        <f t="shared" si="18"/>
        <v>0.78151160851254453</v>
      </c>
      <c r="H104" s="21">
        <f t="shared" si="15"/>
        <v>0.21805141470448031</v>
      </c>
    </row>
    <row r="105" spans="1:8" x14ac:dyDescent="0.25">
      <c r="A105" s="25">
        <f t="shared" si="16"/>
        <v>2067</v>
      </c>
      <c r="B105">
        <f t="shared" si="12"/>
        <v>83</v>
      </c>
      <c r="D105" s="28">
        <f t="shared" si="13"/>
        <v>1.6950351523460631E-2</v>
      </c>
      <c r="E105" s="20">
        <f t="shared" si="14"/>
        <v>0.79846196003600511</v>
      </c>
      <c r="F105" s="20">
        <f t="shared" si="17"/>
        <v>1.6950351523460631E-2</v>
      </c>
      <c r="G105" s="20">
        <f t="shared" si="18"/>
        <v>0.79846196003600511</v>
      </c>
      <c r="H105" s="21">
        <f t="shared" si="15"/>
        <v>0.2011349638840666</v>
      </c>
    </row>
    <row r="106" spans="1:8" x14ac:dyDescent="0.25">
      <c r="A106" s="25">
        <f t="shared" si="16"/>
        <v>2068</v>
      </c>
      <c r="B106">
        <f t="shared" si="12"/>
        <v>84</v>
      </c>
      <c r="D106" s="28">
        <f t="shared" si="13"/>
        <v>1.6156806874635655E-2</v>
      </c>
      <c r="E106" s="20">
        <f t="shared" si="14"/>
        <v>0.81461876691064072</v>
      </c>
      <c r="F106" s="20">
        <f t="shared" si="17"/>
        <v>1.6156806874635655E-2</v>
      </c>
      <c r="G106" s="20">
        <f t="shared" si="18"/>
        <v>0.81461876691064072</v>
      </c>
      <c r="H106" s="21">
        <f t="shared" si="15"/>
        <v>0.18501047062318021</v>
      </c>
    </row>
    <row r="107" spans="1:8" x14ac:dyDescent="0.25">
      <c r="A107" s="25">
        <f t="shared" si="16"/>
        <v>2069</v>
      </c>
      <c r="B107">
        <f t="shared" si="12"/>
        <v>85</v>
      </c>
      <c r="D107" s="28">
        <f t="shared" si="13"/>
        <v>1.5348038422619658E-2</v>
      </c>
      <c r="E107" s="20">
        <f t="shared" si="14"/>
        <v>0.82996680533326039</v>
      </c>
      <c r="F107" s="20">
        <f t="shared" si="17"/>
        <v>1.5348038422619658E-2</v>
      </c>
      <c r="G107" s="20">
        <f t="shared" si="18"/>
        <v>0.82996680533326039</v>
      </c>
      <c r="H107" s="21">
        <f t="shared" si="15"/>
        <v>0.16969312827740579</v>
      </c>
    </row>
    <row r="108" spans="1:8" x14ac:dyDescent="0.25">
      <c r="A108" s="25">
        <f t="shared" si="16"/>
        <v>2070</v>
      </c>
      <c r="B108">
        <f t="shared" si="12"/>
        <v>86</v>
      </c>
      <c r="D108" s="28">
        <f t="shared" si="13"/>
        <v>1.4529750117101115E-2</v>
      </c>
      <c r="E108" s="20">
        <f t="shared" si="14"/>
        <v>0.84449655545036151</v>
      </c>
      <c r="F108" s="20">
        <f t="shared" si="17"/>
        <v>1.4529750117101115E-2</v>
      </c>
      <c r="G108" s="20">
        <f t="shared" si="18"/>
        <v>0.84449655545036151</v>
      </c>
      <c r="H108" s="21">
        <f t="shared" si="15"/>
        <v>0.15519243766053889</v>
      </c>
    </row>
    <row r="109" spans="1:8" x14ac:dyDescent="0.25">
      <c r="A109" s="25">
        <f t="shared" si="16"/>
        <v>2071</v>
      </c>
      <c r="B109">
        <f t="shared" si="12"/>
        <v>87</v>
      </c>
      <c r="D109" s="28">
        <f t="shared" si="13"/>
        <v>1.3707502647739929E-2</v>
      </c>
      <c r="E109" s="20">
        <f t="shared" si="14"/>
        <v>0.85820405809810141</v>
      </c>
      <c r="F109" s="20">
        <f t="shared" si="17"/>
        <v>1.3707502647739929E-2</v>
      </c>
      <c r="G109" s="20">
        <f t="shared" si="18"/>
        <v>0.85820405809810141</v>
      </c>
      <c r="H109" s="21">
        <f t="shared" si="15"/>
        <v>0.14151235001809445</v>
      </c>
    </row>
    <row r="110" spans="1:8" x14ac:dyDescent="0.25">
      <c r="A110" s="25">
        <f t="shared" si="16"/>
        <v>2072</v>
      </c>
      <c r="B110">
        <f t="shared" si="12"/>
        <v>88</v>
      </c>
      <c r="D110" s="28">
        <f t="shared" si="13"/>
        <v>1.2886651447996531E-2</v>
      </c>
      <c r="E110" s="20">
        <f t="shared" si="14"/>
        <v>0.87109070954609791</v>
      </c>
      <c r="F110" s="20">
        <f t="shared" si="17"/>
        <v>1.2886651447996531E-2</v>
      </c>
      <c r="G110" s="20">
        <f t="shared" si="18"/>
        <v>0.87109070954609791</v>
      </c>
      <c r="H110" s="21">
        <f t="shared" si="15"/>
        <v>0.12865147187299392</v>
      </c>
    </row>
    <row r="111" spans="1:8" x14ac:dyDescent="0.25">
      <c r="A111" s="25">
        <f t="shared" si="16"/>
        <v>2073</v>
      </c>
      <c r="B111">
        <f t="shared" si="12"/>
        <v>89</v>
      </c>
      <c r="D111" s="28">
        <f t="shared" si="13"/>
        <v>1.2072289690667646E-2</v>
      </c>
      <c r="E111" s="20">
        <f t="shared" si="14"/>
        <v>0.88316299923676556</v>
      </c>
      <c r="F111" s="20">
        <f t="shared" si="17"/>
        <v>1.2072289690667646E-2</v>
      </c>
      <c r="G111" s="20">
        <f t="shared" si="18"/>
        <v>0.88316299923676556</v>
      </c>
      <c r="H111" s="21">
        <f t="shared" si="15"/>
        <v>0.11660332676170761</v>
      </c>
    </row>
    <row r="112" spans="1:8" x14ac:dyDescent="0.25">
      <c r="A112" s="25">
        <f t="shared" si="16"/>
        <v>2074</v>
      </c>
      <c r="B112">
        <f t="shared" si="12"/>
        <v>90</v>
      </c>
      <c r="D112" s="28">
        <f t="shared" si="13"/>
        <v>1.1269197188793056E-2</v>
      </c>
      <c r="E112" s="20">
        <f t="shared" si="14"/>
        <v>0.8944321964255586</v>
      </c>
      <c r="F112" s="20">
        <f t="shared" si="17"/>
        <v>1.1269197188793056E-2</v>
      </c>
      <c r="G112" s="20">
        <f t="shared" si="18"/>
        <v>0.8944321964255586</v>
      </c>
      <c r="H112" s="21">
        <f t="shared" si="15"/>
        <v>0.10535666796729214</v>
      </c>
    </row>
    <row r="113" spans="1:8" x14ac:dyDescent="0.25">
      <c r="A113" s="25">
        <f t="shared" si="16"/>
        <v>2075</v>
      </c>
      <c r="B113">
        <f t="shared" si="12"/>
        <v>91</v>
      </c>
      <c r="D113" s="28">
        <f t="shared" si="13"/>
        <v>1.0481795970261217E-2</v>
      </c>
      <c r="E113" s="20">
        <f t="shared" si="14"/>
        <v>0.90491399239581982</v>
      </c>
      <c r="F113" s="20">
        <f t="shared" si="17"/>
        <v>1.0481795970261217E-2</v>
      </c>
      <c r="G113" s="20">
        <f t="shared" si="18"/>
        <v>0.90491399239581982</v>
      </c>
      <c r="H113" s="21">
        <f t="shared" si="15"/>
        <v>9.4895835588971439E-2</v>
      </c>
    </row>
    <row r="114" spans="1:8" x14ac:dyDescent="0.25">
      <c r="A114" s="25">
        <f t="shared" si="16"/>
        <v>2076</v>
      </c>
      <c r="B114">
        <f t="shared" si="12"/>
        <v>92</v>
      </c>
      <c r="D114" s="28">
        <f t="shared" si="13"/>
        <v>9.7141131320805339E-3</v>
      </c>
      <c r="E114" s="20">
        <f t="shared" si="14"/>
        <v>0.9146281055279003</v>
      </c>
      <c r="F114" s="20">
        <f t="shared" si="17"/>
        <v>9.7141131320805339E-3</v>
      </c>
      <c r="G114" s="20">
        <f t="shared" si="18"/>
        <v>0.9146281055279003</v>
      </c>
      <c r="H114" s="21">
        <f t="shared" si="15"/>
        <v>8.5201150683155064E-2</v>
      </c>
    </row>
    <row r="115" spans="1:8" x14ac:dyDescent="0.25">
      <c r="A115" s="25">
        <f t="shared" si="16"/>
        <v>2077</v>
      </c>
      <c r="B115">
        <f t="shared" si="12"/>
        <v>93</v>
      </c>
      <c r="D115" s="28">
        <f t="shared" si="13"/>
        <v>8.9697514057012605E-3</v>
      </c>
      <c r="E115" s="20">
        <f t="shared" si="14"/>
        <v>0.92359785693360152</v>
      </c>
      <c r="F115" s="20">
        <f t="shared" si="17"/>
        <v>8.9697514057012605E-3</v>
      </c>
      <c r="G115" s="20">
        <f t="shared" si="18"/>
        <v>0.92359785693360152</v>
      </c>
      <c r="H115" s="21">
        <f t="shared" si="15"/>
        <v>7.62493387802652E-2</v>
      </c>
    </row>
    <row r="116" spans="1:8" x14ac:dyDescent="0.25">
      <c r="A116" s="25">
        <f t="shared" si="16"/>
        <v>2078</v>
      </c>
      <c r="B116">
        <f t="shared" si="12"/>
        <v>94</v>
      </c>
      <c r="D116" s="28">
        <f t="shared" si="13"/>
        <v>8.2518676831399417E-3</v>
      </c>
      <c r="E116" s="20">
        <f t="shared" si="14"/>
        <v>0.93184972461674143</v>
      </c>
      <c r="F116" s="20">
        <f t="shared" si="17"/>
        <v>8.2518676831399417E-3</v>
      </c>
      <c r="G116" s="20">
        <f t="shared" si="18"/>
        <v>0.93184972461674143</v>
      </c>
      <c r="H116" s="21">
        <f t="shared" si="15"/>
        <v>6.8013974832491539E-2</v>
      </c>
    </row>
    <row r="117" spans="1:8" x14ac:dyDescent="0.25">
      <c r="A117" s="25">
        <f t="shared" si="16"/>
        <v>2079</v>
      </c>
      <c r="B117">
        <f t="shared" si="12"/>
        <v>95</v>
      </c>
      <c r="D117" s="28">
        <f t="shared" si="13"/>
        <v>7.563159570324318E-3</v>
      </c>
      <c r="E117" s="20">
        <f t="shared" si="14"/>
        <v>0.9394128841870657</v>
      </c>
      <c r="F117" s="20">
        <f t="shared" si="17"/>
        <v>7.563159570324318E-3</v>
      </c>
      <c r="G117" s="20">
        <f t="shared" si="18"/>
        <v>0.9394128841870657</v>
      </c>
      <c r="H117" s="21">
        <f t="shared" si="15"/>
        <v>6.0465941581307872E-2</v>
      </c>
    </row>
    <row r="118" spans="1:8" x14ac:dyDescent="0.25">
      <c r="A118" s="25">
        <f t="shared" si="16"/>
        <v>2080</v>
      </c>
      <c r="B118">
        <f t="shared" si="12"/>
        <v>96</v>
      </c>
      <c r="D118" s="28">
        <f t="shared" si="13"/>
        <v>6.9058598543773218E-3</v>
      </c>
      <c r="E118" s="20">
        <f t="shared" si="14"/>
        <v>0.94631874404144301</v>
      </c>
      <c r="F118" s="20">
        <f t="shared" si="17"/>
        <v>6.9058598543773218E-3</v>
      </c>
      <c r="G118" s="20">
        <f t="shared" si="18"/>
        <v>0.94631874404144301</v>
      </c>
      <c r="H118" s="21">
        <f t="shared" si="15"/>
        <v>5.3573893446639306E-2</v>
      </c>
    </row>
    <row r="119" spans="1:8" x14ac:dyDescent="0.25">
      <c r="A119" s="25">
        <f t="shared" si="16"/>
        <v>2081</v>
      </c>
      <c r="B119">
        <f t="shared" ref="B119:B138" si="19">A119-mfr_yr</f>
        <v>97</v>
      </c>
      <c r="D119" s="28">
        <f t="shared" si="13"/>
        <v>6.2817386006228364E-3</v>
      </c>
      <c r="E119" s="20">
        <f t="shared" ref="E119:E138" si="20">IF((B119&gt;=ups),IF(E118+D119&gt;1,1,E118+D119),0)</f>
        <v>0.95260048264206587</v>
      </c>
      <c r="F119" s="20">
        <f t="shared" si="17"/>
        <v>6.2817386006228364E-3</v>
      </c>
      <c r="G119" s="20">
        <f t="shared" si="18"/>
        <v>0.95260048264206587</v>
      </c>
      <c r="H119" s="21">
        <f t="shared" ref="H119:H138" si="21">IF(B119&lt;=(ups+margin),alloc,IF(F119&gt;0,H118-alloc*F119,0))</f>
        <v>4.7304718323217712E-2</v>
      </c>
    </row>
    <row r="120" spans="1:8" x14ac:dyDescent="0.25">
      <c r="A120" s="25">
        <f t="shared" si="16"/>
        <v>2082</v>
      </c>
      <c r="B120">
        <f t="shared" si="19"/>
        <v>98</v>
      </c>
      <c r="D120" s="28">
        <f t="shared" si="13"/>
        <v>5.6921124376624463E-3</v>
      </c>
      <c r="E120" s="20">
        <f t="shared" si="20"/>
        <v>0.9582925950797283</v>
      </c>
      <c r="F120" s="20">
        <f t="shared" ref="F120:F138" si="22">IF(B120&lt;ups+margin,0,IF(B120&gt;(2*eta+ups+margin),0,((beta/eta)*(((B120-ups-margin)/eta)^(beta-1))*(EXP(-1*(((B120-ups-margin)/eta)^beta))))))</f>
        <v>5.6921124376624463E-3</v>
      </c>
      <c r="G120" s="20">
        <f t="shared" ref="G120:G138" si="23">IF(B120&lt;=ups+margin,0,IF(F120=0,1,G119+F120))</f>
        <v>0.9582925950797283</v>
      </c>
      <c r="H120" s="21">
        <f t="shared" si="21"/>
        <v>4.1623990110430588E-2</v>
      </c>
    </row>
    <row r="121" spans="1:8" x14ac:dyDescent="0.25">
      <c r="A121" s="25">
        <f t="shared" si="16"/>
        <v>2083</v>
      </c>
      <c r="B121">
        <f t="shared" si="19"/>
        <v>99</v>
      </c>
      <c r="D121" s="28">
        <f t="shared" si="13"/>
        <v>5.1378604491213861E-3</v>
      </c>
      <c r="E121" s="20">
        <f t="shared" si="20"/>
        <v>0.96343045552884965</v>
      </c>
      <c r="F121" s="20">
        <f t="shared" si="22"/>
        <v>5.1378604491213861E-3</v>
      </c>
      <c r="G121" s="20">
        <f t="shared" si="23"/>
        <v>0.96343045552884965</v>
      </c>
      <c r="H121" s="21">
        <f t="shared" si="21"/>
        <v>3.6496405382207442E-2</v>
      </c>
    </row>
    <row r="122" spans="1:8" x14ac:dyDescent="0.25">
      <c r="A122" s="25">
        <f t="shared" si="16"/>
        <v>2084</v>
      </c>
      <c r="B122">
        <f t="shared" si="19"/>
        <v>100</v>
      </c>
      <c r="D122" s="28">
        <f t="shared" si="13"/>
        <v>4.6194459720749143E-3</v>
      </c>
      <c r="E122" s="20">
        <f t="shared" si="20"/>
        <v>0.96804990150092451</v>
      </c>
      <c r="F122" s="20">
        <f t="shared" si="22"/>
        <v>4.6194459720749143E-3</v>
      </c>
      <c r="G122" s="20">
        <f t="shared" si="23"/>
        <v>0.96804990150092451</v>
      </c>
      <c r="H122" s="21">
        <f t="shared" si="21"/>
        <v>3.1886198302076674E-2</v>
      </c>
    </row>
    <row r="123" spans="1:8" x14ac:dyDescent="0.25">
      <c r="A123" s="25">
        <f t="shared" si="16"/>
        <v>2085</v>
      </c>
      <c r="B123">
        <f t="shared" si="19"/>
        <v>101</v>
      </c>
      <c r="D123" s="28">
        <f t="shared" si="13"/>
        <v>4.1369435074134131E-3</v>
      </c>
      <c r="E123" s="20">
        <f t="shared" si="20"/>
        <v>0.97218684500833796</v>
      </c>
      <c r="F123" s="20">
        <f t="shared" si="22"/>
        <v>4.1369435074134131E-3</v>
      </c>
      <c r="G123" s="20">
        <f t="shared" si="23"/>
        <v>0.97218684500833796</v>
      </c>
      <c r="H123" s="21">
        <f t="shared" si="21"/>
        <v>2.7757528681678086E-2</v>
      </c>
    </row>
    <row r="124" spans="1:8" x14ac:dyDescent="0.25">
      <c r="A124" s="25">
        <f t="shared" si="16"/>
        <v>2086</v>
      </c>
      <c r="B124">
        <f t="shared" si="19"/>
        <v>102</v>
      </c>
      <c r="D124" s="28">
        <f t="shared" si="13"/>
        <v>3.6900698782681724E-3</v>
      </c>
      <c r="E124" s="20">
        <f t="shared" si="20"/>
        <v>0.97587691488660611</v>
      </c>
      <c r="F124" s="20">
        <f t="shared" si="22"/>
        <v>3.6900698782681724E-3</v>
      </c>
      <c r="G124" s="20">
        <f t="shared" si="23"/>
        <v>0.97587691488660611</v>
      </c>
      <c r="H124" s="21">
        <f t="shared" si="21"/>
        <v>2.4074838943166449E-2</v>
      </c>
    </row>
    <row r="125" spans="1:8" x14ac:dyDescent="0.25">
      <c r="A125" s="25">
        <f t="shared" si="16"/>
        <v>2087</v>
      </c>
      <c r="B125">
        <f t="shared" si="19"/>
        <v>103</v>
      </c>
      <c r="D125" s="28">
        <f t="shared" si="13"/>
        <v>3.2782187299569879E-3</v>
      </c>
      <c r="E125" s="20">
        <f t="shared" si="20"/>
        <v>0.97915513361656314</v>
      </c>
      <c r="F125" s="20">
        <f t="shared" si="22"/>
        <v>3.2782187299569879E-3</v>
      </c>
      <c r="G125" s="20">
        <f t="shared" si="23"/>
        <v>0.97915513361656314</v>
      </c>
      <c r="H125" s="21">
        <f t="shared" si="21"/>
        <v>2.0803176650669376E-2</v>
      </c>
    </row>
    <row r="126" spans="1:8" x14ac:dyDescent="0.25">
      <c r="A126" s="25">
        <f t="shared" si="16"/>
        <v>2088</v>
      </c>
      <c r="B126">
        <f t="shared" si="19"/>
        <v>104</v>
      </c>
      <c r="D126" s="28">
        <f t="shared" si="13"/>
        <v>2.9004974486513298E-3</v>
      </c>
      <c r="E126" s="20">
        <f t="shared" si="20"/>
        <v>0.98205563106521443</v>
      </c>
      <c r="F126" s="20">
        <f t="shared" si="22"/>
        <v>2.9004974486513298E-3</v>
      </c>
      <c r="G126" s="20">
        <f t="shared" si="23"/>
        <v>0.98205563106521443</v>
      </c>
      <c r="H126" s="21">
        <f t="shared" si="21"/>
        <v>1.790848019691535E-2</v>
      </c>
    </row>
    <row r="127" spans="1:8" x14ac:dyDescent="0.25">
      <c r="A127" s="25">
        <f t="shared" si="16"/>
        <v>2089</v>
      </c>
      <c r="B127">
        <f t="shared" si="19"/>
        <v>105</v>
      </c>
      <c r="D127" s="28">
        <f t="shared" si="13"/>
        <v>2.5557655851607469E-3</v>
      </c>
      <c r="E127" s="20">
        <f t="shared" si="20"/>
        <v>0.98461139665037523</v>
      </c>
      <c r="F127" s="20">
        <f t="shared" si="22"/>
        <v>2.5557655851607469E-3</v>
      </c>
      <c r="G127" s="20">
        <f t="shared" si="23"/>
        <v>0.98461139665037523</v>
      </c>
      <c r="H127" s="21">
        <f t="shared" si="21"/>
        <v>1.5357826142924923E-2</v>
      </c>
    </row>
    <row r="128" spans="1:8" x14ac:dyDescent="0.25">
      <c r="A128" s="25">
        <f t="shared" si="16"/>
        <v>2090</v>
      </c>
      <c r="B128">
        <f t="shared" si="19"/>
        <v>106</v>
      </c>
      <c r="D128" s="28">
        <f t="shared" si="13"/>
        <v>2.2426739031091475E-3</v>
      </c>
      <c r="E128" s="20">
        <f t="shared" si="20"/>
        <v>0.9868540705534844</v>
      </c>
      <c r="F128" s="20">
        <f t="shared" si="22"/>
        <v>2.2426739031091475E-3</v>
      </c>
      <c r="G128" s="20">
        <f t="shared" si="23"/>
        <v>0.9868540705534844</v>
      </c>
      <c r="H128" s="21">
        <f t="shared" si="21"/>
        <v>1.3119637587621994E-2</v>
      </c>
    </row>
    <row r="129" spans="1:8" x14ac:dyDescent="0.25">
      <c r="A129" s="25">
        <f t="shared" si="16"/>
        <v>2091</v>
      </c>
      <c r="B129">
        <f t="shared" si="19"/>
        <v>107</v>
      </c>
      <c r="D129" s="28">
        <f t="shared" si="13"/>
        <v>1.9597032248682067E-3</v>
      </c>
      <c r="E129" s="20">
        <f t="shared" si="20"/>
        <v>0.98881377377835256</v>
      </c>
      <c r="F129" s="20">
        <f t="shared" si="22"/>
        <v>1.9597032248682067E-3</v>
      </c>
      <c r="G129" s="20">
        <f t="shared" si="23"/>
        <v>0.98881377377835256</v>
      </c>
      <c r="H129" s="21">
        <f t="shared" si="21"/>
        <v>1.1163853769203525E-2</v>
      </c>
    </row>
    <row r="130" spans="1:8" x14ac:dyDescent="0.25">
      <c r="A130" s="25">
        <f t="shared" si="16"/>
        <v>2092</v>
      </c>
      <c r="B130">
        <f t="shared" si="19"/>
        <v>108</v>
      </c>
      <c r="D130" s="28">
        <f t="shared" si="13"/>
        <v>1.7052023208641871E-3</v>
      </c>
      <c r="E130" s="20">
        <f t="shared" si="20"/>
        <v>0.9905189760992168</v>
      </c>
      <c r="F130" s="20">
        <f t="shared" si="22"/>
        <v>1.7052023208641871E-3</v>
      </c>
      <c r="G130" s="20">
        <f t="shared" si="23"/>
        <v>0.9905189760992168</v>
      </c>
      <c r="H130" s="21">
        <f t="shared" si="21"/>
        <v>9.4620618529810668E-3</v>
      </c>
    </row>
    <row r="131" spans="1:8" x14ac:dyDescent="0.25">
      <c r="A131" s="25">
        <f t="shared" si="16"/>
        <v>2093</v>
      </c>
      <c r="B131">
        <f t="shared" si="19"/>
        <v>109</v>
      </c>
      <c r="D131" s="28">
        <f t="shared" si="13"/>
        <v>1.4774241748052464E-3</v>
      </c>
      <c r="E131" s="20">
        <f t="shared" si="20"/>
        <v>0.99199640027402203</v>
      </c>
      <c r="F131" s="20">
        <f t="shared" si="22"/>
        <v>1.4774241748052464E-3</v>
      </c>
      <c r="G131" s="20">
        <f t="shared" si="23"/>
        <v>0.99199640027402203</v>
      </c>
      <c r="H131" s="21">
        <f t="shared" si="21"/>
        <v>7.9875925265254308E-3</v>
      </c>
    </row>
    <row r="132" spans="1:8" x14ac:dyDescent="0.25">
      <c r="A132" s="25">
        <f t="shared" si="16"/>
        <v>2094</v>
      </c>
      <c r="B132">
        <f t="shared" si="19"/>
        <v>110</v>
      </c>
      <c r="D132" s="28">
        <f t="shared" si="13"/>
        <v>1.2745600552334405E-3</v>
      </c>
      <c r="E132" s="20">
        <f t="shared" si="20"/>
        <v>0.99327096032925544</v>
      </c>
      <c r="F132" s="20">
        <f t="shared" si="22"/>
        <v>1.2745600552334405E-3</v>
      </c>
      <c r="G132" s="20">
        <f t="shared" si="23"/>
        <v>0.99327096032925544</v>
      </c>
      <c r="H132" s="21">
        <f t="shared" si="21"/>
        <v>6.7155815914024574E-3</v>
      </c>
    </row>
    <row r="133" spans="1:8" x14ac:dyDescent="0.25">
      <c r="A133" s="25">
        <f t="shared" si="16"/>
        <v>2095</v>
      </c>
      <c r="B133">
        <f t="shared" si="19"/>
        <v>111</v>
      </c>
      <c r="D133" s="28">
        <f t="shared" si="13"/>
        <v>1.0947709287256865E-3</v>
      </c>
      <c r="E133" s="20">
        <f t="shared" si="20"/>
        <v>0.99436573125798111</v>
      </c>
      <c r="F133" s="20">
        <f t="shared" si="22"/>
        <v>1.0947709287256865E-3</v>
      </c>
      <c r="G133" s="20">
        <f t="shared" si="23"/>
        <v>0.99436573125798111</v>
      </c>
      <c r="H133" s="21">
        <f t="shared" si="21"/>
        <v>5.6230002045342224E-3</v>
      </c>
    </row>
    <row r="134" spans="1:8" x14ac:dyDescent="0.25">
      <c r="A134" s="25">
        <f t="shared" si="16"/>
        <v>2096</v>
      </c>
      <c r="B134">
        <f t="shared" si="19"/>
        <v>112</v>
      </c>
      <c r="D134" s="28">
        <f t="shared" si="13"/>
        <v>9.3621585823057667E-4</v>
      </c>
      <c r="E134" s="20">
        <f t="shared" si="20"/>
        <v>0.99530194711621167</v>
      </c>
      <c r="F134" s="20">
        <f t="shared" si="22"/>
        <v>9.3621585823057667E-4</v>
      </c>
      <c r="G134" s="20">
        <f t="shared" si="23"/>
        <v>0.99530194711621167</v>
      </c>
      <c r="H134" s="21">
        <f t="shared" si="21"/>
        <v>4.6886567780201069E-3</v>
      </c>
    </row>
    <row r="135" spans="1:8" x14ac:dyDescent="0.25">
      <c r="A135" s="25">
        <f t="shared" si="16"/>
        <v>2097</v>
      </c>
      <c r="B135">
        <f t="shared" si="19"/>
        <v>113</v>
      </c>
      <c r="D135" s="28">
        <f t="shared" si="13"/>
        <v>7.9707713780243048E-4</v>
      </c>
      <c r="E135" s="20">
        <f t="shared" si="20"/>
        <v>0.99609902425401409</v>
      </c>
      <c r="F135" s="20">
        <f t="shared" si="22"/>
        <v>7.9707713780243048E-4</v>
      </c>
      <c r="G135" s="20">
        <f t="shared" si="23"/>
        <v>0.99609902425401409</v>
      </c>
      <c r="H135" s="21">
        <f t="shared" si="21"/>
        <v>3.8931737944932813E-3</v>
      </c>
    </row>
    <row r="136" spans="1:8" x14ac:dyDescent="0.25">
      <c r="A136" s="25">
        <f t="shared" si="16"/>
        <v>2098</v>
      </c>
      <c r="B136">
        <f t="shared" si="19"/>
        <v>114</v>
      </c>
      <c r="D136" s="28">
        <f t="shared" si="13"/>
        <v>6.7558201906325194E-4</v>
      </c>
      <c r="E136" s="20">
        <f t="shared" si="20"/>
        <v>0.99677460627307735</v>
      </c>
      <c r="F136" s="20">
        <f t="shared" si="22"/>
        <v>6.7558201906325194E-4</v>
      </c>
      <c r="G136" s="20">
        <f t="shared" si="23"/>
        <v>0.99677460627307735</v>
      </c>
      <c r="H136" s="21">
        <f t="shared" si="21"/>
        <v>3.2189429394681559E-3</v>
      </c>
    </row>
    <row r="137" spans="1:8" x14ac:dyDescent="0.25">
      <c r="A137" s="25">
        <f t="shared" si="16"/>
        <v>2099</v>
      </c>
      <c r="B137">
        <f t="shared" si="19"/>
        <v>115</v>
      </c>
      <c r="D137" s="28">
        <f t="shared" si="13"/>
        <v>5.7002098218870794E-4</v>
      </c>
      <c r="E137" s="20">
        <f t="shared" si="20"/>
        <v>0.99734462725526607</v>
      </c>
      <c r="F137" s="20">
        <f t="shared" si="22"/>
        <v>5.7002098218870794E-4</v>
      </c>
      <c r="G137" s="20">
        <f t="shared" si="23"/>
        <v>0.99734462725526607</v>
      </c>
      <c r="H137" s="21">
        <f t="shared" si="21"/>
        <v>2.6500619992438253E-3</v>
      </c>
    </row>
    <row r="138" spans="1:8" x14ac:dyDescent="0.25">
      <c r="A138" s="25">
        <f t="shared" si="16"/>
        <v>2100</v>
      </c>
      <c r="B138">
        <f t="shared" si="19"/>
        <v>116</v>
      </c>
      <c r="D138" s="28">
        <f t="shared" si="13"/>
        <v>4.7876259267266142E-4</v>
      </c>
      <c r="E138" s="20">
        <f t="shared" si="20"/>
        <v>0.99782338984793872</v>
      </c>
      <c r="F138" s="20">
        <f t="shared" si="22"/>
        <v>4.7876259267266142E-4</v>
      </c>
      <c r="G138" s="20">
        <f t="shared" si="23"/>
        <v>0.99782338984793872</v>
      </c>
      <c r="H138" s="21">
        <f t="shared" si="21"/>
        <v>2.1722569317565092E-3</v>
      </c>
    </row>
    <row r="139" spans="1:8" x14ac:dyDescent="0.25">
      <c r="H139" s="9"/>
    </row>
  </sheetData>
  <mergeCells count="4">
    <mergeCell ref="A1:V3"/>
    <mergeCell ref="A4:V6"/>
    <mergeCell ref="H8:Q8"/>
    <mergeCell ref="A7:V7"/>
  </mergeCells>
  <hyperlinks>
    <hyperlink ref="S20" r:id="rId1"/>
  </hyperlinks>
  <pageMargins left="0.7" right="0.7" top="0.75" bottom="0.75" header="0.3" footer="0.3"/>
  <pageSetup scale="41" fitToHeight="0" orientation="landscape" r:id="rId2"/>
  <drawing r:id="rId3"/>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'Failure Mode Effects Model- WTC'!A23:A23</xm:f>
              <xm:sqref>A23</xm:sqref>
            </x14:sparkline>
            <x14:sparkline>
              <xm:f>'Failure Mode Effects Model- WTC'!A24:A24</xm:f>
              <xm:sqref>A24</xm:sqref>
            </x14:sparkline>
            <x14:sparkline>
              <xm:f>'Failure Mode Effects Model- WTC'!A25:A25</xm:f>
              <xm:sqref>A25</xm:sqref>
            </x14:sparkline>
            <x14:sparkline>
              <xm:f>'Failure Mode Effects Model- WTC'!A26:A26</xm:f>
              <xm:sqref>A26</xm:sqref>
            </x14:sparkline>
            <x14:sparkline>
              <xm:f>'Failure Mode Effects Model- WTC'!A27:A27</xm:f>
              <xm:sqref>A27</xm:sqref>
            </x14:sparkline>
            <x14:sparkline>
              <xm:f>'Failure Mode Effects Model- WTC'!A28:A28</xm:f>
              <xm:sqref>A28</xm:sqref>
            </x14:sparkline>
            <x14:sparkline>
              <xm:f>'Failure Mode Effects Model- WTC'!A29:A29</xm:f>
              <xm:sqref>A29</xm:sqref>
            </x14:sparkline>
            <x14:sparkline>
              <xm:f>'Failure Mode Effects Model- WTC'!A30:A30</xm:f>
              <xm:sqref>A30</xm:sqref>
            </x14:sparkline>
            <x14:sparkline>
              <xm:f>'Failure Mode Effects Model- WTC'!A31:A31</xm:f>
              <xm:sqref>A31</xm:sqref>
            </x14:sparkline>
            <x14:sparkline>
              <xm:f>'Failure Mode Effects Model- WTC'!A32:A32</xm:f>
              <xm:sqref>A32</xm:sqref>
            </x14:sparkline>
            <x14:sparkline>
              <xm:f>'Failure Mode Effects Model- WTC'!A33:A33</xm:f>
              <xm:sqref>A33</xm:sqref>
            </x14:sparkline>
            <x14:sparkline>
              <xm:f>'Failure Mode Effects Model- WTC'!A34:A34</xm:f>
              <xm:sqref>A34</xm:sqref>
            </x14:sparkline>
            <x14:sparkline>
              <xm:f>'Failure Mode Effects Model- WTC'!A35:A35</xm:f>
              <xm:sqref>A35</xm:sqref>
            </x14:sparkline>
            <x14:sparkline>
              <xm:f>'Failure Mode Effects Model- WTC'!A36:A36</xm:f>
              <xm:sqref>A36</xm:sqref>
            </x14:sparkline>
            <x14:sparkline>
              <xm:f>'Failure Mode Effects Model- WTC'!A37:A37</xm:f>
              <xm:sqref>A37</xm:sqref>
            </x14:sparkline>
            <x14:sparkline>
              <xm:f>'Failure Mode Effects Model- WTC'!A38:A38</xm:f>
              <xm:sqref>A38</xm:sqref>
            </x14:sparkline>
            <x14:sparkline>
              <xm:f>'Failure Mode Effects Model- WTC'!A39:A39</xm:f>
              <xm:sqref>A39</xm:sqref>
            </x14:sparkline>
            <x14:sparkline>
              <xm:f>'Failure Mode Effects Model- WTC'!A40:A40</xm:f>
              <xm:sqref>A40</xm:sqref>
            </x14:sparkline>
            <x14:sparkline>
              <xm:f>'Failure Mode Effects Model- WTC'!A41:A41</xm:f>
              <xm:sqref>A41</xm:sqref>
            </x14:sparkline>
            <x14:sparkline>
              <xm:f>'Failure Mode Effects Model- WTC'!A42:A42</xm:f>
              <xm:sqref>A42</xm:sqref>
            </x14:sparkline>
            <x14:sparkline>
              <xm:f>'Failure Mode Effects Model- WTC'!A43:A43</xm:f>
              <xm:sqref>A43</xm:sqref>
            </x14:sparkline>
            <x14:sparkline>
              <xm:f>'Failure Mode Effects Model- WTC'!A44:A44</xm:f>
              <xm:sqref>A44</xm:sqref>
            </x14:sparkline>
            <x14:sparkline>
              <xm:f>'Failure Mode Effects Model- WTC'!A45:A45</xm:f>
              <xm:sqref>A45</xm:sqref>
            </x14:sparkline>
            <x14:sparkline>
              <xm:f>'Failure Mode Effects Model- WTC'!A46:A46</xm:f>
              <xm:sqref>A46</xm:sqref>
            </x14:sparkline>
            <x14:sparkline>
              <xm:f>'Failure Mode Effects Model- WTC'!A47:A47</xm:f>
              <xm:sqref>A47</xm:sqref>
            </x14:sparkline>
            <x14:sparkline>
              <xm:f>'Failure Mode Effects Model- WTC'!A48:A48</xm:f>
              <xm:sqref>A48</xm:sqref>
            </x14:sparkline>
            <x14:sparkline>
              <xm:f>'Failure Mode Effects Model- WTC'!A49:A49</xm:f>
              <xm:sqref>A49</xm:sqref>
            </x14:sparkline>
            <x14:sparkline>
              <xm:f>'Failure Mode Effects Model- WTC'!A50:A50</xm:f>
              <xm:sqref>A50</xm:sqref>
            </x14:sparkline>
            <x14:sparkline>
              <xm:f>'Failure Mode Effects Model- WTC'!A51:A51</xm:f>
              <xm:sqref>A51</xm:sqref>
            </x14:sparkline>
            <x14:sparkline>
              <xm:f>'Failure Mode Effects Model- WTC'!A52:A52</xm:f>
              <xm:sqref>A52</xm:sqref>
            </x14:sparkline>
            <x14:sparkline>
              <xm:f>'Failure Mode Effects Model- WTC'!A53:A53</xm:f>
              <xm:sqref>A53</xm:sqref>
            </x14:sparkline>
            <x14:sparkline>
              <xm:f>'Failure Mode Effects Model- WTC'!A54:A54</xm:f>
              <xm:sqref>A54</xm:sqref>
            </x14:sparkline>
            <x14:sparkline>
              <xm:f>'Failure Mode Effects Model- WTC'!A55:A55</xm:f>
              <xm:sqref>A55</xm:sqref>
            </x14:sparkline>
            <x14:sparkline>
              <xm:f>'Failure Mode Effects Model- WTC'!A56:A56</xm:f>
              <xm:sqref>A56</xm:sqref>
            </x14:sparkline>
            <x14:sparkline>
              <xm:f>'Failure Mode Effects Model- WTC'!A57:A57</xm:f>
              <xm:sqref>A57</xm:sqref>
            </x14:sparkline>
            <x14:sparkline>
              <xm:f>'Failure Mode Effects Model- WTC'!A58:A58</xm:f>
              <xm:sqref>A58</xm:sqref>
            </x14:sparkline>
            <x14:sparkline>
              <xm:f>'Failure Mode Effects Model- WTC'!A59:A59</xm:f>
              <xm:sqref>A59</xm:sqref>
            </x14:sparkline>
            <x14:sparkline>
              <xm:f>'Failure Mode Effects Model- WTC'!A60:A60</xm:f>
              <xm:sqref>A60</xm:sqref>
            </x14:sparkline>
            <x14:sparkline>
              <xm:f>'Failure Mode Effects Model- WTC'!A61:A61</xm:f>
              <xm:sqref>A61</xm:sqref>
            </x14:sparkline>
            <x14:sparkline>
              <xm:f>'Failure Mode Effects Model- WTC'!A62:A62</xm:f>
              <xm:sqref>A62</xm:sqref>
            </x14:sparkline>
            <x14:sparkline>
              <xm:f>'Failure Mode Effects Model- WTC'!A63:A63</xm:f>
              <xm:sqref>A63</xm:sqref>
            </x14:sparkline>
            <x14:sparkline>
              <xm:f>'Failure Mode Effects Model- WTC'!A64:A64</xm:f>
              <xm:sqref>A64</xm:sqref>
            </x14:sparkline>
            <x14:sparkline>
              <xm:f>'Failure Mode Effects Model- WTC'!A65:A65</xm:f>
              <xm:sqref>A65</xm:sqref>
            </x14:sparkline>
            <x14:sparkline>
              <xm:f>'Failure Mode Effects Model- WTC'!A66:A66</xm:f>
              <xm:sqref>A66</xm:sqref>
            </x14:sparkline>
            <x14:sparkline>
              <xm:f>'Failure Mode Effects Model- WTC'!A67:A67</xm:f>
              <xm:sqref>A67</xm:sqref>
            </x14:sparkline>
            <x14:sparkline>
              <xm:f>'Failure Mode Effects Model- WTC'!A68:A68</xm:f>
              <xm:sqref>A68</xm:sqref>
            </x14:sparkline>
            <x14:sparkline>
              <xm:f>'Failure Mode Effects Model- WTC'!A69:A69</xm:f>
              <xm:sqref>A69</xm:sqref>
            </x14:sparkline>
            <x14:sparkline>
              <xm:f>'Failure Mode Effects Model- WTC'!A70:A70</xm:f>
              <xm:sqref>A70</xm:sqref>
            </x14:sparkline>
            <x14:sparkline>
              <xm:f>'Failure Mode Effects Model- WTC'!A71:A71</xm:f>
              <xm:sqref>A71</xm:sqref>
            </x14:sparkline>
            <x14:sparkline>
              <xm:f>'Failure Mode Effects Model- WTC'!A72:A72</xm:f>
              <xm:sqref>A72</xm:sqref>
            </x14:sparkline>
            <x14:sparkline>
              <xm:f>'Failure Mode Effects Model- WTC'!A73:A73</xm:f>
              <xm:sqref>A73</xm:sqref>
            </x14:sparkline>
            <x14:sparkline>
              <xm:f>'Failure Mode Effects Model- WTC'!A74:A74</xm:f>
              <xm:sqref>A74</xm:sqref>
            </x14:sparkline>
            <x14:sparkline>
              <xm:f>'Failure Mode Effects Model- WTC'!A75:A75</xm:f>
              <xm:sqref>A75</xm:sqref>
            </x14:sparkline>
            <x14:sparkline>
              <xm:f>'Failure Mode Effects Model- WTC'!A76:A76</xm:f>
              <xm:sqref>A76</xm:sqref>
            </x14:sparkline>
            <x14:sparkline>
              <xm:f>'Failure Mode Effects Model- WTC'!A77:A77</xm:f>
              <xm:sqref>A77</xm:sqref>
            </x14:sparkline>
            <x14:sparkline>
              <xm:f>'Failure Mode Effects Model- WTC'!A78:A78</xm:f>
              <xm:sqref>A78</xm:sqref>
            </x14:sparkline>
            <x14:sparkline>
              <xm:f>'Failure Mode Effects Model- WTC'!A79:A79</xm:f>
              <xm:sqref>A79</xm:sqref>
            </x14:sparkline>
            <x14:sparkline>
              <xm:f>'Failure Mode Effects Model- WTC'!A80:A80</xm:f>
              <xm:sqref>A80</xm:sqref>
            </x14:sparkline>
            <x14:sparkline>
              <xm:f>'Failure Mode Effects Model- WTC'!A81:A81</xm:f>
              <xm:sqref>A81</xm:sqref>
            </x14:sparkline>
            <x14:sparkline>
              <xm:f>'Failure Mode Effects Model- WTC'!A82:A82</xm:f>
              <xm:sqref>A82</xm:sqref>
            </x14:sparkline>
            <x14:sparkline>
              <xm:f>'Failure Mode Effects Model- WTC'!A83:A83</xm:f>
              <xm:sqref>A83</xm:sqref>
            </x14:sparkline>
            <x14:sparkline>
              <xm:f>'Failure Mode Effects Model- WTC'!A84:A84</xm:f>
              <xm:sqref>A84</xm:sqref>
            </x14:sparkline>
            <x14:sparkline>
              <xm:f>'Failure Mode Effects Model- WTC'!A85:A85</xm:f>
              <xm:sqref>A85</xm:sqref>
            </x14:sparkline>
            <x14:sparkline>
              <xm:f>'Failure Mode Effects Model- WTC'!A86:A86</xm:f>
              <xm:sqref>A86</xm:sqref>
            </x14:sparkline>
            <x14:sparkline>
              <xm:f>'Failure Mode Effects Model- WTC'!A87:A87</xm:f>
              <xm:sqref>A87</xm:sqref>
            </x14:sparkline>
            <x14:sparkline>
              <xm:f>'Failure Mode Effects Model- WTC'!A88:A88</xm:f>
              <xm:sqref>A88</xm:sqref>
            </x14:sparkline>
            <x14:sparkline>
              <xm:f>'Failure Mode Effects Model- WTC'!A89:A89</xm:f>
              <xm:sqref>A89</xm:sqref>
            </x14:sparkline>
            <x14:sparkline>
              <xm:f>'Failure Mode Effects Model- WTC'!A90:A90</xm:f>
              <xm:sqref>A90</xm:sqref>
            </x14:sparkline>
            <x14:sparkline>
              <xm:f>'Failure Mode Effects Model- WTC'!A91:A91</xm:f>
              <xm:sqref>A91</xm:sqref>
            </x14:sparkline>
            <x14:sparkline>
              <xm:f>'Failure Mode Effects Model- WTC'!A92:A92</xm:f>
              <xm:sqref>A92</xm:sqref>
            </x14:sparkline>
            <x14:sparkline>
              <xm:f>'Failure Mode Effects Model- WTC'!A93:A93</xm:f>
              <xm:sqref>A93</xm:sqref>
            </x14:sparkline>
            <x14:sparkline>
              <xm:f>'Failure Mode Effects Model- WTC'!A94:A94</xm:f>
              <xm:sqref>A94</xm:sqref>
            </x14:sparkline>
            <x14:sparkline>
              <xm:f>'Failure Mode Effects Model- WTC'!A95:A95</xm:f>
              <xm:sqref>A95</xm:sqref>
            </x14:sparkline>
            <x14:sparkline>
              <xm:f>'Failure Mode Effects Model- WTC'!A96:A96</xm:f>
              <xm:sqref>A96</xm:sqref>
            </x14:sparkline>
            <x14:sparkline>
              <xm:f>'Failure Mode Effects Model- WTC'!A97:A97</xm:f>
              <xm:sqref>A97</xm:sqref>
            </x14:sparkline>
            <x14:sparkline>
              <xm:f>'Failure Mode Effects Model- WTC'!A98:A98</xm:f>
              <xm:sqref>A98</xm:sqref>
            </x14:sparkline>
            <x14:sparkline>
              <xm:f>'Failure Mode Effects Model- WTC'!A99:A99</xm:f>
              <xm:sqref>A99</xm:sqref>
            </x14:sparkline>
            <x14:sparkline>
              <xm:f>'Failure Mode Effects Model- WTC'!A100:A100</xm:f>
              <xm:sqref>A100</xm:sqref>
            </x14:sparkline>
            <x14:sparkline>
              <xm:f>'Failure Mode Effects Model- WTC'!A101:A101</xm:f>
              <xm:sqref>A101</xm:sqref>
            </x14:sparkline>
            <x14:sparkline>
              <xm:f>'Failure Mode Effects Model- WTC'!A102:A102</xm:f>
              <xm:sqref>A102</xm:sqref>
            </x14:sparkline>
            <x14:sparkline>
              <xm:f>'Failure Mode Effects Model- WTC'!A103:A103</xm:f>
              <xm:sqref>A103</xm:sqref>
            </x14:sparkline>
            <x14:sparkline>
              <xm:f>'Failure Mode Effects Model- WTC'!A104:A104</xm:f>
              <xm:sqref>A104</xm:sqref>
            </x14:sparkline>
            <x14:sparkline>
              <xm:f>'Failure Mode Effects Model- WTC'!A105:A105</xm:f>
              <xm:sqref>A105</xm:sqref>
            </x14:sparkline>
            <x14:sparkline>
              <xm:f>'Failure Mode Effects Model- WTC'!A106:A106</xm:f>
              <xm:sqref>A106</xm:sqref>
            </x14:sparkline>
            <x14:sparkline>
              <xm:f>'Failure Mode Effects Model- WTC'!A107:A107</xm:f>
              <xm:sqref>A107</xm:sqref>
            </x14:sparkline>
            <x14:sparkline>
              <xm:f>'Failure Mode Effects Model- WTC'!A108:A108</xm:f>
              <xm:sqref>A108</xm:sqref>
            </x14:sparkline>
            <x14:sparkline>
              <xm:f>'Failure Mode Effects Model- WTC'!A109:A109</xm:f>
              <xm:sqref>A109</xm:sqref>
            </x14:sparkline>
            <x14:sparkline>
              <xm:f>'Failure Mode Effects Model- WTC'!A110:A110</xm:f>
              <xm:sqref>A110</xm:sqref>
            </x14:sparkline>
            <x14:sparkline>
              <xm:f>'Failure Mode Effects Model- WTC'!A111:A111</xm:f>
              <xm:sqref>A111</xm:sqref>
            </x14:sparkline>
            <x14:sparkline>
              <xm:f>'Failure Mode Effects Model- WTC'!A112:A112</xm:f>
              <xm:sqref>A112</xm:sqref>
            </x14:sparkline>
            <x14:sparkline>
              <xm:f>'Failure Mode Effects Model- WTC'!A113:A113</xm:f>
              <xm:sqref>A113</xm:sqref>
            </x14:sparkline>
            <x14:sparkline>
              <xm:f>'Failure Mode Effects Model- WTC'!A114:A114</xm:f>
              <xm:sqref>A114</xm:sqref>
            </x14:sparkline>
            <x14:sparkline>
              <xm:f>'Failure Mode Effects Model- WTC'!A115:A115</xm:f>
              <xm:sqref>A115</xm:sqref>
            </x14:sparkline>
            <x14:sparkline>
              <xm:f>'Failure Mode Effects Model- WTC'!A116:A116</xm:f>
              <xm:sqref>A116</xm:sqref>
            </x14:sparkline>
            <x14:sparkline>
              <xm:f>'Failure Mode Effects Model- WTC'!A117:A117</xm:f>
              <xm:sqref>A117</xm:sqref>
            </x14:sparkline>
            <x14:sparkline>
              <xm:f>'Failure Mode Effects Model- WTC'!A118:A118</xm:f>
              <xm:sqref>A118</xm:sqref>
            </x14:sparkline>
            <x14:sparkline>
              <xm:f>'Failure Mode Effects Model- WTC'!A119:A119</xm:f>
              <xm:sqref>A119</xm:sqref>
            </x14:sparkline>
            <x14:sparkline>
              <xm:f>'Failure Mode Effects Model- WTC'!A120:A120</xm:f>
              <xm:sqref>A120</xm:sqref>
            </x14:sparkline>
            <x14:sparkline>
              <xm:f>'Failure Mode Effects Model- WTC'!A121:A121</xm:f>
              <xm:sqref>A121</xm:sqref>
            </x14:sparkline>
            <x14:sparkline>
              <xm:f>'Failure Mode Effects Model- WTC'!A122:A122</xm:f>
              <xm:sqref>A122</xm:sqref>
            </x14:sparkline>
            <x14:sparkline>
              <xm:f>'Failure Mode Effects Model- WTC'!A123:A123</xm:f>
              <xm:sqref>A123</xm:sqref>
            </x14:sparkline>
            <x14:sparkline>
              <xm:f>'Failure Mode Effects Model- WTC'!A124:A124</xm:f>
              <xm:sqref>A124</xm:sqref>
            </x14:sparkline>
            <x14:sparkline>
              <xm:f>'Failure Mode Effects Model- WTC'!A125:A125</xm:f>
              <xm:sqref>A125</xm:sqref>
            </x14:sparkline>
            <x14:sparkline>
              <xm:f>'Failure Mode Effects Model- WTC'!A126:A126</xm:f>
              <xm:sqref>A126</xm:sqref>
            </x14:sparkline>
            <x14:sparkline>
              <xm:f>'Failure Mode Effects Model- WTC'!A127:A127</xm:f>
              <xm:sqref>A127</xm:sqref>
            </x14:sparkline>
            <x14:sparkline>
              <xm:f>'Failure Mode Effects Model- WTC'!A128:A128</xm:f>
              <xm:sqref>A128</xm:sqref>
            </x14:sparkline>
            <x14:sparkline>
              <xm:f>'Failure Mode Effects Model- WTC'!A129:A129</xm:f>
              <xm:sqref>A129</xm:sqref>
            </x14:sparkline>
            <x14:sparkline>
              <xm:f>'Failure Mode Effects Model- WTC'!A130:A130</xm:f>
              <xm:sqref>A130</xm:sqref>
            </x14:sparkline>
            <x14:sparkline>
              <xm:f>'Failure Mode Effects Model- WTC'!A131:A131</xm:f>
              <xm:sqref>A131</xm:sqref>
            </x14:sparkline>
            <x14:sparkline>
              <xm:f>'Failure Mode Effects Model- WTC'!A132:A132</xm:f>
              <xm:sqref>A132</xm:sqref>
            </x14:sparkline>
            <x14:sparkline>
              <xm:f>'Failure Mode Effects Model- WTC'!A133:A133</xm:f>
              <xm:sqref>A133</xm:sqref>
            </x14:sparkline>
            <x14:sparkline>
              <xm:f>'Failure Mode Effects Model- WTC'!A134:A134</xm:f>
              <xm:sqref>A134</xm:sqref>
            </x14:sparkline>
            <x14:sparkline>
              <xm:f>'Failure Mode Effects Model- WTC'!A135:A135</xm:f>
              <xm:sqref>A135</xm:sqref>
            </x14:sparkline>
            <x14:sparkline>
              <xm:f>'Failure Mode Effects Model- WTC'!A136:A136</xm:f>
              <xm:sqref>A136</xm:sqref>
            </x14:sparkline>
            <x14:sparkline>
              <xm:f>'Failure Mode Effects Model- WTC'!A137:A137</xm:f>
              <xm:sqref>A137</xm:sqref>
            </x14:sparkline>
            <x14:sparkline>
              <xm:f>'Failure Mode Effects Model- WTC'!A138:A138</xm:f>
              <xm:sqref>A138</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39"/>
  <sheetViews>
    <sheetView tabSelected="1" workbookViewId="0">
      <selection activeCell="F14" sqref="F14"/>
    </sheetView>
  </sheetViews>
  <sheetFormatPr defaultRowHeight="15" x14ac:dyDescent="0.25"/>
  <cols>
    <col min="1" max="1" width="12.28515625" style="25" customWidth="1"/>
    <col min="2" max="2" width="15.42578125" customWidth="1"/>
    <col min="3" max="3" width="2.28515625" style="3" customWidth="1"/>
    <col min="4" max="4" width="24.85546875" style="5" customWidth="1"/>
    <col min="5" max="5" width="14.42578125" style="9" customWidth="1"/>
    <col min="6" max="6" width="27.7109375" style="9" customWidth="1"/>
    <col min="7" max="7" width="24.5703125" style="9" customWidth="1"/>
    <col min="8" max="8" width="15" customWidth="1"/>
    <col min="9" max="9" width="10.5703125" customWidth="1"/>
    <col min="10" max="10" width="11.140625" customWidth="1"/>
  </cols>
  <sheetData>
    <row r="1" spans="1:29" x14ac:dyDescent="0.25">
      <c r="A1" s="35" t="s">
        <v>22</v>
      </c>
      <c r="B1" s="35"/>
      <c r="C1" s="35"/>
      <c r="D1" s="35"/>
      <c r="E1" s="35"/>
      <c r="F1" s="35"/>
      <c r="G1" s="35"/>
      <c r="H1" s="35"/>
      <c r="I1" s="35"/>
      <c r="J1" s="35"/>
      <c r="K1" s="35"/>
      <c r="L1" s="35"/>
      <c r="M1" s="35"/>
      <c r="N1" s="35"/>
      <c r="O1" s="35"/>
      <c r="P1" s="35"/>
      <c r="Q1" s="35"/>
      <c r="R1" s="35"/>
      <c r="S1" s="35"/>
      <c r="T1" s="35"/>
      <c r="U1" s="35"/>
      <c r="V1" s="35"/>
    </row>
    <row r="2" spans="1:29" x14ac:dyDescent="0.25">
      <c r="A2" s="35"/>
      <c r="B2" s="35"/>
      <c r="C2" s="35"/>
      <c r="D2" s="35"/>
      <c r="E2" s="35"/>
      <c r="F2" s="35"/>
      <c r="G2" s="35"/>
      <c r="H2" s="35"/>
      <c r="I2" s="35"/>
      <c r="J2" s="35"/>
      <c r="K2" s="35"/>
      <c r="L2" s="35"/>
      <c r="M2" s="35"/>
      <c r="N2" s="35"/>
      <c r="O2" s="35"/>
      <c r="P2" s="35"/>
      <c r="Q2" s="35"/>
      <c r="R2" s="35"/>
      <c r="S2" s="35"/>
      <c r="T2" s="35"/>
      <c r="U2" s="35"/>
      <c r="V2" s="35"/>
    </row>
    <row r="3" spans="1:29" x14ac:dyDescent="0.25">
      <c r="A3" s="35"/>
      <c r="B3" s="35"/>
      <c r="C3" s="35"/>
      <c r="D3" s="35"/>
      <c r="E3" s="35"/>
      <c r="F3" s="35"/>
      <c r="G3" s="35"/>
      <c r="H3" s="35"/>
      <c r="I3" s="35"/>
      <c r="J3" s="35"/>
      <c r="K3" s="35"/>
      <c r="L3" s="35"/>
      <c r="M3" s="35"/>
      <c r="N3" s="35"/>
      <c r="O3" s="35"/>
      <c r="P3" s="35"/>
      <c r="Q3" s="35"/>
      <c r="R3" s="35"/>
      <c r="S3" s="35"/>
      <c r="T3" s="35"/>
      <c r="U3" s="35"/>
      <c r="V3" s="35"/>
    </row>
    <row r="4" spans="1:29" ht="26.25" customHeight="1" x14ac:dyDescent="0.25">
      <c r="A4" s="35" t="s">
        <v>30</v>
      </c>
      <c r="B4" s="35"/>
      <c r="C4" s="35"/>
      <c r="D4" s="35"/>
      <c r="E4" s="35"/>
      <c r="F4" s="35"/>
      <c r="G4" s="35"/>
      <c r="H4" s="35"/>
      <c r="I4" s="35"/>
      <c r="J4" s="35"/>
      <c r="K4" s="35"/>
      <c r="L4" s="35"/>
      <c r="M4" s="35"/>
      <c r="N4" s="35"/>
      <c r="O4" s="35"/>
      <c r="P4" s="35"/>
      <c r="Q4" s="35"/>
      <c r="R4" s="35"/>
      <c r="S4" s="35"/>
      <c r="T4" s="35"/>
      <c r="U4" s="35"/>
      <c r="V4" s="35"/>
      <c r="W4" s="24"/>
      <c r="X4" s="24"/>
      <c r="Y4" s="24"/>
      <c r="Z4" s="24"/>
      <c r="AA4" s="24"/>
      <c r="AB4" s="24"/>
      <c r="AC4" s="24"/>
    </row>
    <row r="5" spans="1:29" ht="26.25" customHeight="1" x14ac:dyDescent="0.25">
      <c r="A5" s="35"/>
      <c r="B5" s="35"/>
      <c r="C5" s="35"/>
      <c r="D5" s="35"/>
      <c r="E5" s="35"/>
      <c r="F5" s="35"/>
      <c r="G5" s="35"/>
      <c r="H5" s="35"/>
      <c r="I5" s="35"/>
      <c r="J5" s="35"/>
      <c r="K5" s="35"/>
      <c r="L5" s="35"/>
      <c r="M5" s="35"/>
      <c r="N5" s="35"/>
      <c r="O5" s="35"/>
      <c r="P5" s="35"/>
      <c r="Q5" s="35"/>
      <c r="R5" s="35"/>
      <c r="S5" s="35"/>
      <c r="T5" s="35"/>
      <c r="U5" s="35"/>
      <c r="V5" s="35"/>
      <c r="W5" s="24"/>
      <c r="X5" s="24"/>
      <c r="Y5" s="24"/>
      <c r="Z5" s="24"/>
      <c r="AA5" s="24"/>
      <c r="AB5" s="24"/>
      <c r="AC5" s="24"/>
    </row>
    <row r="6" spans="1:29" ht="15" customHeight="1" x14ac:dyDescent="0.25">
      <c r="A6" s="35"/>
      <c r="B6" s="35"/>
      <c r="C6" s="35"/>
      <c r="D6" s="35"/>
      <c r="E6" s="35"/>
      <c r="F6" s="35"/>
      <c r="G6" s="35"/>
      <c r="H6" s="35"/>
      <c r="I6" s="35"/>
      <c r="J6" s="35"/>
      <c r="K6" s="35"/>
      <c r="L6" s="35"/>
      <c r="M6" s="35"/>
      <c r="N6" s="35"/>
      <c r="O6" s="35"/>
      <c r="P6" s="35"/>
      <c r="Q6" s="35"/>
      <c r="R6" s="35"/>
      <c r="S6" s="35"/>
      <c r="T6" s="35"/>
      <c r="U6" s="35"/>
      <c r="V6" s="35"/>
      <c r="W6" s="24"/>
      <c r="X6" s="24"/>
      <c r="Y6" s="24"/>
      <c r="Z6" s="24"/>
      <c r="AA6" s="24"/>
      <c r="AB6" s="24"/>
      <c r="AC6" s="24"/>
    </row>
    <row r="7" spans="1:29" ht="26.25" x14ac:dyDescent="0.25">
      <c r="A7" s="35" t="s">
        <v>29</v>
      </c>
      <c r="B7" s="35"/>
      <c r="C7" s="35"/>
      <c r="D7" s="35"/>
      <c r="E7" s="35"/>
      <c r="F7" s="35"/>
      <c r="G7" s="35"/>
      <c r="H7" s="35"/>
      <c r="I7" s="35"/>
      <c r="J7" s="35"/>
      <c r="K7" s="35"/>
      <c r="L7" s="35"/>
      <c r="M7" s="35"/>
      <c r="N7" s="35"/>
      <c r="O7" s="35"/>
      <c r="P7" s="35"/>
      <c r="Q7" s="35"/>
      <c r="R7" s="24"/>
      <c r="S7" s="24"/>
      <c r="T7" s="24"/>
      <c r="U7" s="24"/>
      <c r="V7" s="24"/>
      <c r="W7" s="24"/>
      <c r="X7" s="24"/>
      <c r="Y7" s="24"/>
      <c r="Z7" s="24"/>
      <c r="AA7" s="24"/>
      <c r="AB7" s="24"/>
      <c r="AC7" s="24"/>
    </row>
    <row r="8" spans="1:29" x14ac:dyDescent="0.25">
      <c r="A8" s="25" t="s">
        <v>1</v>
      </c>
      <c r="B8" s="2">
        <v>50</v>
      </c>
      <c r="D8" s="4" t="s">
        <v>12</v>
      </c>
      <c r="G8" s="13" t="s">
        <v>18</v>
      </c>
      <c r="H8" s="13"/>
      <c r="I8" s="13"/>
      <c r="J8" s="13"/>
      <c r="K8" s="13"/>
      <c r="L8" s="13"/>
      <c r="M8" s="13"/>
      <c r="N8" s="13"/>
    </row>
    <row r="10" spans="1:29" ht="30" x14ac:dyDescent="0.25">
      <c r="A10" s="25" t="s">
        <v>2</v>
      </c>
      <c r="B10" s="2">
        <v>3</v>
      </c>
      <c r="D10" s="23" t="s">
        <v>20</v>
      </c>
      <c r="G10" s="13" t="s">
        <v>17</v>
      </c>
      <c r="H10" s="14"/>
      <c r="I10" s="14"/>
      <c r="J10" s="14"/>
      <c r="K10" s="14"/>
      <c r="L10" s="14"/>
      <c r="M10" s="14"/>
      <c r="N10" s="14"/>
      <c r="O10" s="14"/>
      <c r="P10" s="14"/>
      <c r="Q10" s="14"/>
    </row>
    <row r="12" spans="1:29" x14ac:dyDescent="0.25">
      <c r="A12" s="25" t="s">
        <v>0</v>
      </c>
      <c r="B12" s="2">
        <v>20</v>
      </c>
      <c r="D12" s="4" t="s">
        <v>21</v>
      </c>
      <c r="G12" s="13" t="s">
        <v>19</v>
      </c>
      <c r="H12" s="14"/>
      <c r="I12" s="14"/>
      <c r="J12" s="14"/>
      <c r="K12" s="14"/>
      <c r="L12" s="14"/>
      <c r="M12" s="14"/>
      <c r="N12" s="14"/>
      <c r="O12" s="14"/>
      <c r="P12" s="14"/>
      <c r="Q12" s="14"/>
    </row>
    <row r="14" spans="1:29" x14ac:dyDescent="0.25">
      <c r="B14" t="s">
        <v>4</v>
      </c>
      <c r="G14" s="18"/>
      <c r="H14" s="16"/>
      <c r="I14" s="16"/>
      <c r="J14" s="16"/>
      <c r="K14" s="16"/>
      <c r="L14" s="16"/>
      <c r="M14" s="16"/>
      <c r="N14" s="16"/>
      <c r="O14" s="16"/>
      <c r="P14" s="16"/>
      <c r="Q14" s="16"/>
      <c r="R14" s="16"/>
    </row>
    <row r="15" spans="1:29" x14ac:dyDescent="0.25">
      <c r="G15" s="13" t="s">
        <v>11</v>
      </c>
      <c r="H15" s="2">
        <v>0.99990000000000001</v>
      </c>
      <c r="I15" s="16"/>
      <c r="J15" s="22"/>
      <c r="K15" s="16"/>
      <c r="L15" s="16"/>
      <c r="M15" s="16"/>
      <c r="N15" s="16"/>
      <c r="O15" s="16"/>
      <c r="P15" s="16"/>
      <c r="Q15" s="16"/>
      <c r="R15" s="16"/>
    </row>
    <row r="17" spans="1:19" x14ac:dyDescent="0.25">
      <c r="G17" s="18"/>
      <c r="H17" s="16"/>
      <c r="I17" s="16"/>
      <c r="J17" s="16"/>
      <c r="K17" s="16"/>
    </row>
    <row r="20" spans="1:19" x14ac:dyDescent="0.25">
      <c r="B20" t="s">
        <v>5</v>
      </c>
      <c r="E20" s="11"/>
      <c r="F20" s="15" t="s">
        <v>8</v>
      </c>
      <c r="G20" s="12">
        <v>20</v>
      </c>
      <c r="H20" s="14" t="s">
        <v>10</v>
      </c>
      <c r="I20" s="14"/>
      <c r="J20" s="14"/>
      <c r="K20" s="14"/>
      <c r="L20" s="14"/>
      <c r="M20" s="14"/>
      <c r="N20" s="14"/>
      <c r="O20" s="14"/>
      <c r="P20" s="14"/>
      <c r="Q20" s="14"/>
      <c r="S20" s="6" t="s">
        <v>3</v>
      </c>
    </row>
    <row r="21" spans="1:19" x14ac:dyDescent="0.25">
      <c r="A21" s="26" t="s">
        <v>7</v>
      </c>
      <c r="B21" t="s">
        <v>6</v>
      </c>
    </row>
    <row r="22" spans="1:19" x14ac:dyDescent="0.25">
      <c r="A22" s="27">
        <v>1984</v>
      </c>
      <c r="B22" s="8"/>
      <c r="D22" s="7" t="s">
        <v>16</v>
      </c>
      <c r="E22" s="10" t="s">
        <v>15</v>
      </c>
      <c r="F22" s="10" t="s">
        <v>9</v>
      </c>
      <c r="G22" s="10" t="s">
        <v>14</v>
      </c>
      <c r="H22" s="10" t="s">
        <v>13</v>
      </c>
      <c r="K22" s="1"/>
    </row>
    <row r="23" spans="1:19" x14ac:dyDescent="0.25">
      <c r="A23" s="25">
        <f>A22+1</f>
        <v>1985</v>
      </c>
      <c r="B23">
        <f t="shared" ref="B23:B86" si="0">A23-mfr_yr</f>
        <v>1</v>
      </c>
      <c r="D23" s="20">
        <f t="shared" ref="D23:D86" si="1">IF(B23&gt;=ups,((beta/eta)*(((B23-ups)/eta)^(beta-1))*(EXP(-1*(((B23-ups)/eta)^beta)))),0)</f>
        <v>0</v>
      </c>
      <c r="E23" s="20">
        <f t="shared" ref="E23:E86" si="2">IF((B23&gt;=ups),IF(E22+D23&gt;1,1,E22+D23),0)</f>
        <v>0</v>
      </c>
      <c r="F23" s="20">
        <f>IF((B23&lt;ups+margin),0,D23)</f>
        <v>0</v>
      </c>
      <c r="G23" s="20">
        <f>F23</f>
        <v>0</v>
      </c>
      <c r="H23" s="21">
        <f t="shared" ref="H23:H86" si="3">IF(B23&lt;=(ups+margin),alloc,IF(F23&gt;0,H22-alloc*F23,0))</f>
        <v>0.998</v>
      </c>
    </row>
    <row r="24" spans="1:19" x14ac:dyDescent="0.25">
      <c r="A24" s="25">
        <f t="shared" ref="A24:A87" si="4">A23+1</f>
        <v>1986</v>
      </c>
      <c r="B24">
        <f t="shared" si="0"/>
        <v>2</v>
      </c>
      <c r="D24" s="20">
        <f t="shared" si="1"/>
        <v>0</v>
      </c>
      <c r="E24" s="20">
        <f t="shared" si="2"/>
        <v>0</v>
      </c>
      <c r="F24" s="20">
        <f t="shared" ref="F24:F87" si="5">IF(B24&lt;ups+margin,0,IF(B24&gt;(2*eta+ups+margin),0,((beta/eta)*(((B24-ups-margin)/eta)^(beta-1))*(EXP(-1*(((B24-ups-margin)/eta)^beta))))))</f>
        <v>0</v>
      </c>
      <c r="G24" s="20">
        <f t="shared" ref="G24:G87" si="6">IF(B24&lt;=ups+margin,0,IF(F24=0,1,G23+F24))</f>
        <v>0</v>
      </c>
      <c r="H24" s="21">
        <f t="shared" si="3"/>
        <v>0.998</v>
      </c>
    </row>
    <row r="25" spans="1:19" x14ac:dyDescent="0.25">
      <c r="A25" s="25">
        <f t="shared" si="4"/>
        <v>1987</v>
      </c>
      <c r="B25">
        <f t="shared" si="0"/>
        <v>3</v>
      </c>
      <c r="D25" s="20">
        <f t="shared" si="1"/>
        <v>0</v>
      </c>
      <c r="E25" s="20">
        <f t="shared" si="2"/>
        <v>0</v>
      </c>
      <c r="F25" s="20">
        <f t="shared" si="5"/>
        <v>0</v>
      </c>
      <c r="G25" s="20">
        <f t="shared" si="6"/>
        <v>0</v>
      </c>
      <c r="H25" s="21">
        <f t="shared" si="3"/>
        <v>0.998</v>
      </c>
    </row>
    <row r="26" spans="1:19" x14ac:dyDescent="0.25">
      <c r="A26" s="25">
        <f t="shared" si="4"/>
        <v>1988</v>
      </c>
      <c r="B26">
        <f t="shared" si="0"/>
        <v>4</v>
      </c>
      <c r="D26" s="20">
        <f t="shared" si="1"/>
        <v>0</v>
      </c>
      <c r="E26" s="20">
        <f t="shared" si="2"/>
        <v>0</v>
      </c>
      <c r="F26" s="20">
        <f t="shared" si="5"/>
        <v>0</v>
      </c>
      <c r="G26" s="20">
        <f t="shared" si="6"/>
        <v>0</v>
      </c>
      <c r="H26" s="21">
        <f t="shared" si="3"/>
        <v>0.998</v>
      </c>
    </row>
    <row r="27" spans="1:19" x14ac:dyDescent="0.25">
      <c r="A27" s="25">
        <f t="shared" si="4"/>
        <v>1989</v>
      </c>
      <c r="B27">
        <f t="shared" si="0"/>
        <v>5</v>
      </c>
      <c r="D27" s="20">
        <f t="shared" si="1"/>
        <v>0</v>
      </c>
      <c r="E27" s="20">
        <f t="shared" si="2"/>
        <v>0</v>
      </c>
      <c r="F27" s="20">
        <f t="shared" si="5"/>
        <v>0</v>
      </c>
      <c r="G27" s="20">
        <f t="shared" si="6"/>
        <v>0</v>
      </c>
      <c r="H27" s="21">
        <f t="shared" si="3"/>
        <v>0.998</v>
      </c>
    </row>
    <row r="28" spans="1:19" x14ac:dyDescent="0.25">
      <c r="A28" s="25">
        <f t="shared" si="4"/>
        <v>1990</v>
      </c>
      <c r="B28">
        <f t="shared" si="0"/>
        <v>6</v>
      </c>
      <c r="D28" s="20">
        <f t="shared" si="1"/>
        <v>0</v>
      </c>
      <c r="E28" s="20">
        <f t="shared" si="2"/>
        <v>0</v>
      </c>
      <c r="F28" s="20">
        <f t="shared" si="5"/>
        <v>0</v>
      </c>
      <c r="G28" s="20">
        <f t="shared" si="6"/>
        <v>0</v>
      </c>
      <c r="H28" s="21">
        <f t="shared" si="3"/>
        <v>0.998</v>
      </c>
    </row>
    <row r="29" spans="1:19" x14ac:dyDescent="0.25">
      <c r="A29" s="25">
        <f t="shared" si="4"/>
        <v>1991</v>
      </c>
      <c r="B29">
        <f t="shared" si="0"/>
        <v>7</v>
      </c>
      <c r="D29" s="20">
        <f t="shared" si="1"/>
        <v>0</v>
      </c>
      <c r="E29" s="20">
        <f t="shared" si="2"/>
        <v>0</v>
      </c>
      <c r="F29" s="20">
        <f t="shared" si="5"/>
        <v>0</v>
      </c>
      <c r="G29" s="20">
        <f t="shared" si="6"/>
        <v>0</v>
      </c>
      <c r="H29" s="21">
        <f t="shared" si="3"/>
        <v>0.998</v>
      </c>
    </row>
    <row r="30" spans="1:19" x14ac:dyDescent="0.25">
      <c r="A30" s="25">
        <f t="shared" si="4"/>
        <v>1992</v>
      </c>
      <c r="B30">
        <f t="shared" si="0"/>
        <v>8</v>
      </c>
      <c r="D30" s="20">
        <f t="shared" si="1"/>
        <v>0</v>
      </c>
      <c r="E30" s="20">
        <f t="shared" si="2"/>
        <v>0</v>
      </c>
      <c r="F30" s="20">
        <f t="shared" si="5"/>
        <v>0</v>
      </c>
      <c r="G30" s="20">
        <f t="shared" si="6"/>
        <v>0</v>
      </c>
      <c r="H30" s="21">
        <f t="shared" si="3"/>
        <v>0.998</v>
      </c>
    </row>
    <row r="31" spans="1:19" x14ac:dyDescent="0.25">
      <c r="A31" s="25">
        <f t="shared" si="4"/>
        <v>1993</v>
      </c>
      <c r="B31">
        <f t="shared" si="0"/>
        <v>9</v>
      </c>
      <c r="D31" s="20">
        <f t="shared" si="1"/>
        <v>0</v>
      </c>
      <c r="E31" s="20">
        <f t="shared" si="2"/>
        <v>0</v>
      </c>
      <c r="F31" s="20">
        <f t="shared" si="5"/>
        <v>0</v>
      </c>
      <c r="G31" s="20">
        <f t="shared" si="6"/>
        <v>0</v>
      </c>
      <c r="H31" s="21">
        <f t="shared" si="3"/>
        <v>0.998</v>
      </c>
    </row>
    <row r="32" spans="1:19" x14ac:dyDescent="0.25">
      <c r="A32" s="25">
        <f t="shared" si="4"/>
        <v>1994</v>
      </c>
      <c r="B32">
        <f t="shared" si="0"/>
        <v>10</v>
      </c>
      <c r="D32" s="20">
        <f t="shared" si="1"/>
        <v>0</v>
      </c>
      <c r="E32" s="20">
        <f t="shared" si="2"/>
        <v>0</v>
      </c>
      <c r="F32" s="20">
        <f t="shared" si="5"/>
        <v>0</v>
      </c>
      <c r="G32" s="20">
        <f t="shared" si="6"/>
        <v>0</v>
      </c>
      <c r="H32" s="21">
        <f t="shared" si="3"/>
        <v>0.998</v>
      </c>
    </row>
    <row r="33" spans="1:8" x14ac:dyDescent="0.25">
      <c r="A33" s="25">
        <f t="shared" si="4"/>
        <v>1995</v>
      </c>
      <c r="B33">
        <f t="shared" si="0"/>
        <v>11</v>
      </c>
      <c r="D33" s="20">
        <f t="shared" si="1"/>
        <v>0</v>
      </c>
      <c r="E33" s="20">
        <f t="shared" si="2"/>
        <v>0</v>
      </c>
      <c r="F33" s="20">
        <f t="shared" si="5"/>
        <v>0</v>
      </c>
      <c r="G33" s="20">
        <f t="shared" si="6"/>
        <v>0</v>
      </c>
      <c r="H33" s="21">
        <f t="shared" si="3"/>
        <v>0.998</v>
      </c>
    </row>
    <row r="34" spans="1:8" x14ac:dyDescent="0.25">
      <c r="A34" s="25">
        <f t="shared" si="4"/>
        <v>1996</v>
      </c>
      <c r="B34">
        <f t="shared" si="0"/>
        <v>12</v>
      </c>
      <c r="D34" s="20">
        <f t="shared" si="1"/>
        <v>0</v>
      </c>
      <c r="E34" s="20">
        <f t="shared" si="2"/>
        <v>0</v>
      </c>
      <c r="F34" s="20">
        <f t="shared" si="5"/>
        <v>0</v>
      </c>
      <c r="G34" s="20">
        <f t="shared" si="6"/>
        <v>0</v>
      </c>
      <c r="H34" s="21">
        <f t="shared" si="3"/>
        <v>0.998</v>
      </c>
    </row>
    <row r="35" spans="1:8" x14ac:dyDescent="0.25">
      <c r="A35" s="25">
        <f t="shared" si="4"/>
        <v>1997</v>
      </c>
      <c r="B35">
        <f t="shared" si="0"/>
        <v>13</v>
      </c>
      <c r="D35" s="20">
        <f t="shared" si="1"/>
        <v>0</v>
      </c>
      <c r="E35" s="20">
        <f t="shared" si="2"/>
        <v>0</v>
      </c>
      <c r="F35" s="20">
        <f t="shared" si="5"/>
        <v>0</v>
      </c>
      <c r="G35" s="20">
        <f t="shared" si="6"/>
        <v>0</v>
      </c>
      <c r="H35" s="21">
        <f t="shared" si="3"/>
        <v>0.998</v>
      </c>
    </row>
    <row r="36" spans="1:8" x14ac:dyDescent="0.25">
      <c r="A36" s="25">
        <f t="shared" si="4"/>
        <v>1998</v>
      </c>
      <c r="B36">
        <f t="shared" si="0"/>
        <v>14</v>
      </c>
      <c r="D36" s="20">
        <f t="shared" si="1"/>
        <v>0</v>
      </c>
      <c r="E36" s="20">
        <f t="shared" si="2"/>
        <v>0</v>
      </c>
      <c r="F36" s="20">
        <f t="shared" si="5"/>
        <v>0</v>
      </c>
      <c r="G36" s="20">
        <f t="shared" si="6"/>
        <v>0</v>
      </c>
      <c r="H36" s="21">
        <f t="shared" si="3"/>
        <v>0.998</v>
      </c>
    </row>
    <row r="37" spans="1:8" x14ac:dyDescent="0.25">
      <c r="A37" s="25">
        <f t="shared" si="4"/>
        <v>1999</v>
      </c>
      <c r="B37">
        <f t="shared" si="0"/>
        <v>15</v>
      </c>
      <c r="D37" s="20">
        <f t="shared" si="1"/>
        <v>0</v>
      </c>
      <c r="E37" s="20">
        <f t="shared" si="2"/>
        <v>0</v>
      </c>
      <c r="F37" s="20">
        <f t="shared" si="5"/>
        <v>0</v>
      </c>
      <c r="G37" s="20">
        <f t="shared" si="6"/>
        <v>0</v>
      </c>
      <c r="H37" s="21">
        <f t="shared" si="3"/>
        <v>0.998</v>
      </c>
    </row>
    <row r="38" spans="1:8" x14ac:dyDescent="0.25">
      <c r="A38" s="25">
        <f t="shared" si="4"/>
        <v>2000</v>
      </c>
      <c r="B38">
        <f t="shared" si="0"/>
        <v>16</v>
      </c>
      <c r="D38" s="20">
        <f t="shared" si="1"/>
        <v>0</v>
      </c>
      <c r="E38" s="20">
        <f t="shared" si="2"/>
        <v>0</v>
      </c>
      <c r="F38" s="20">
        <f t="shared" si="5"/>
        <v>0</v>
      </c>
      <c r="G38" s="20">
        <f t="shared" si="6"/>
        <v>0</v>
      </c>
      <c r="H38" s="21">
        <f t="shared" si="3"/>
        <v>0.998</v>
      </c>
    </row>
    <row r="39" spans="1:8" x14ac:dyDescent="0.25">
      <c r="A39" s="25">
        <f t="shared" si="4"/>
        <v>2001</v>
      </c>
      <c r="B39">
        <f t="shared" si="0"/>
        <v>17</v>
      </c>
      <c r="D39" s="20">
        <f t="shared" si="1"/>
        <v>0</v>
      </c>
      <c r="E39" s="20">
        <f t="shared" si="2"/>
        <v>0</v>
      </c>
      <c r="F39" s="20">
        <f t="shared" si="5"/>
        <v>0</v>
      </c>
      <c r="G39" s="20">
        <f t="shared" si="6"/>
        <v>0</v>
      </c>
      <c r="H39" s="21">
        <f t="shared" si="3"/>
        <v>0.998</v>
      </c>
    </row>
    <row r="40" spans="1:8" x14ac:dyDescent="0.25">
      <c r="A40" s="25">
        <f t="shared" si="4"/>
        <v>2002</v>
      </c>
      <c r="B40">
        <f t="shared" si="0"/>
        <v>18</v>
      </c>
      <c r="D40" s="20">
        <f t="shared" si="1"/>
        <v>0</v>
      </c>
      <c r="E40" s="20">
        <f t="shared" si="2"/>
        <v>0</v>
      </c>
      <c r="F40" s="20">
        <f t="shared" si="5"/>
        <v>0</v>
      </c>
      <c r="G40" s="20">
        <f t="shared" si="6"/>
        <v>0</v>
      </c>
      <c r="H40" s="21">
        <f t="shared" si="3"/>
        <v>0.998</v>
      </c>
    </row>
    <row r="41" spans="1:8" x14ac:dyDescent="0.25">
      <c r="A41" s="25">
        <f t="shared" si="4"/>
        <v>2003</v>
      </c>
      <c r="B41">
        <f t="shared" si="0"/>
        <v>19</v>
      </c>
      <c r="D41" s="20">
        <f t="shared" si="1"/>
        <v>0</v>
      </c>
      <c r="E41" s="20">
        <f t="shared" si="2"/>
        <v>0</v>
      </c>
      <c r="F41" s="20">
        <f t="shared" si="5"/>
        <v>0</v>
      </c>
      <c r="G41" s="20">
        <f t="shared" si="6"/>
        <v>0</v>
      </c>
      <c r="H41" s="21">
        <f t="shared" si="3"/>
        <v>0.998</v>
      </c>
    </row>
    <row r="42" spans="1:8" x14ac:dyDescent="0.25">
      <c r="A42" s="25">
        <f t="shared" si="4"/>
        <v>2004</v>
      </c>
      <c r="B42">
        <f t="shared" si="0"/>
        <v>20</v>
      </c>
      <c r="D42" s="20">
        <f t="shared" si="1"/>
        <v>0</v>
      </c>
      <c r="E42" s="20">
        <f t="shared" si="2"/>
        <v>0</v>
      </c>
      <c r="F42" s="20">
        <f t="shared" si="5"/>
        <v>0</v>
      </c>
      <c r="G42" s="20">
        <f t="shared" si="6"/>
        <v>0</v>
      </c>
      <c r="H42" s="21">
        <f t="shared" si="3"/>
        <v>0.998</v>
      </c>
    </row>
    <row r="43" spans="1:8" x14ac:dyDescent="0.25">
      <c r="A43" s="25">
        <f t="shared" si="4"/>
        <v>2005</v>
      </c>
      <c r="B43">
        <f t="shared" si="0"/>
        <v>21</v>
      </c>
      <c r="D43" s="20">
        <f t="shared" si="1"/>
        <v>0</v>
      </c>
      <c r="E43" s="20">
        <f t="shared" si="2"/>
        <v>0</v>
      </c>
      <c r="F43" s="20">
        <f t="shared" si="5"/>
        <v>0</v>
      </c>
      <c r="G43" s="20">
        <f t="shared" si="6"/>
        <v>0</v>
      </c>
      <c r="H43" s="21">
        <f t="shared" si="3"/>
        <v>0.998</v>
      </c>
    </row>
    <row r="44" spans="1:8" x14ac:dyDescent="0.25">
      <c r="A44" s="25">
        <f t="shared" si="4"/>
        <v>2006</v>
      </c>
      <c r="B44">
        <f t="shared" si="0"/>
        <v>22</v>
      </c>
      <c r="D44" s="20">
        <f t="shared" si="1"/>
        <v>0</v>
      </c>
      <c r="E44" s="20">
        <f t="shared" si="2"/>
        <v>0</v>
      </c>
      <c r="F44" s="20">
        <f t="shared" si="5"/>
        <v>0</v>
      </c>
      <c r="G44" s="20">
        <f t="shared" si="6"/>
        <v>0</v>
      </c>
      <c r="H44" s="21">
        <f t="shared" si="3"/>
        <v>0.998</v>
      </c>
    </row>
    <row r="45" spans="1:8" x14ac:dyDescent="0.25">
      <c r="A45" s="25">
        <f t="shared" si="4"/>
        <v>2007</v>
      </c>
      <c r="B45">
        <f t="shared" si="0"/>
        <v>23</v>
      </c>
      <c r="D45" s="20">
        <f t="shared" si="1"/>
        <v>0</v>
      </c>
      <c r="E45" s="20">
        <f t="shared" si="2"/>
        <v>0</v>
      </c>
      <c r="F45" s="20">
        <f t="shared" si="5"/>
        <v>0</v>
      </c>
      <c r="G45" s="20">
        <f t="shared" si="6"/>
        <v>0</v>
      </c>
      <c r="H45" s="21">
        <f t="shared" si="3"/>
        <v>0.998</v>
      </c>
    </row>
    <row r="46" spans="1:8" x14ac:dyDescent="0.25">
      <c r="A46" s="25">
        <f t="shared" si="4"/>
        <v>2008</v>
      </c>
      <c r="B46">
        <f t="shared" si="0"/>
        <v>24</v>
      </c>
      <c r="D46" s="20">
        <f t="shared" si="1"/>
        <v>0</v>
      </c>
      <c r="E46" s="20">
        <f t="shared" si="2"/>
        <v>0</v>
      </c>
      <c r="F46" s="20">
        <f t="shared" si="5"/>
        <v>0</v>
      </c>
      <c r="G46" s="20">
        <f t="shared" si="6"/>
        <v>0</v>
      </c>
      <c r="H46" s="21">
        <f t="shared" si="3"/>
        <v>0.998</v>
      </c>
    </row>
    <row r="47" spans="1:8" x14ac:dyDescent="0.25">
      <c r="A47" s="25">
        <f t="shared" si="4"/>
        <v>2009</v>
      </c>
      <c r="B47">
        <f t="shared" si="0"/>
        <v>25</v>
      </c>
      <c r="D47" s="20">
        <f t="shared" si="1"/>
        <v>0</v>
      </c>
      <c r="E47" s="20">
        <f t="shared" si="2"/>
        <v>0</v>
      </c>
      <c r="F47" s="20">
        <f t="shared" si="5"/>
        <v>0</v>
      </c>
      <c r="G47" s="20">
        <f t="shared" si="6"/>
        <v>0</v>
      </c>
      <c r="H47" s="21">
        <f t="shared" si="3"/>
        <v>0.998</v>
      </c>
    </row>
    <row r="48" spans="1:8" x14ac:dyDescent="0.25">
      <c r="A48" s="25">
        <f t="shared" si="4"/>
        <v>2010</v>
      </c>
      <c r="B48">
        <f t="shared" si="0"/>
        <v>26</v>
      </c>
      <c r="D48" s="20">
        <f t="shared" si="1"/>
        <v>2.3999808000768E-5</v>
      </c>
      <c r="E48" s="20">
        <f t="shared" si="2"/>
        <v>2.3999808000768E-5</v>
      </c>
      <c r="F48" s="20">
        <f t="shared" si="5"/>
        <v>2.3999808000768E-5</v>
      </c>
      <c r="G48" s="20">
        <f t="shared" si="6"/>
        <v>2.3999808000768E-5</v>
      </c>
      <c r="H48" s="21">
        <f t="shared" si="3"/>
        <v>0.99797604819161523</v>
      </c>
    </row>
    <row r="49" spans="1:8" x14ac:dyDescent="0.25">
      <c r="A49" s="25">
        <f t="shared" si="4"/>
        <v>2011</v>
      </c>
      <c r="B49">
        <f t="shared" si="0"/>
        <v>27</v>
      </c>
      <c r="D49" s="20">
        <f t="shared" si="1"/>
        <v>9.599385619660381E-5</v>
      </c>
      <c r="E49" s="20">
        <f t="shared" si="2"/>
        <v>1.1999366419737181E-4</v>
      </c>
      <c r="F49" s="20">
        <f t="shared" si="5"/>
        <v>9.599385619660381E-5</v>
      </c>
      <c r="G49" s="20">
        <f t="shared" si="6"/>
        <v>1.1999366419737181E-4</v>
      </c>
      <c r="H49" s="21">
        <f t="shared" si="3"/>
        <v>0.99788024632313099</v>
      </c>
    </row>
    <row r="50" spans="1:8" x14ac:dyDescent="0.25">
      <c r="A50" s="25">
        <f t="shared" si="4"/>
        <v>2012</v>
      </c>
      <c r="B50">
        <f t="shared" si="0"/>
        <v>28</v>
      </c>
      <c r="D50" s="20">
        <f t="shared" si="1"/>
        <v>2.1595334903848522E-4</v>
      </c>
      <c r="E50" s="20">
        <f t="shared" si="2"/>
        <v>3.3594701323585703E-4</v>
      </c>
      <c r="F50" s="20">
        <f t="shared" si="5"/>
        <v>2.1595334903848522E-4</v>
      </c>
      <c r="G50" s="20">
        <f t="shared" si="6"/>
        <v>3.3594701323585703E-4</v>
      </c>
      <c r="H50" s="21">
        <f t="shared" si="3"/>
        <v>0.99766472488079061</v>
      </c>
    </row>
    <row r="51" spans="1:8" x14ac:dyDescent="0.25">
      <c r="A51" s="25">
        <f t="shared" si="4"/>
        <v>2013</v>
      </c>
      <c r="B51">
        <f t="shared" si="0"/>
        <v>29</v>
      </c>
      <c r="D51" s="20">
        <f t="shared" si="1"/>
        <v>3.8380344232305915E-4</v>
      </c>
      <c r="E51" s="20">
        <f t="shared" si="2"/>
        <v>7.1975045555891623E-4</v>
      </c>
      <c r="F51" s="20">
        <f t="shared" si="5"/>
        <v>3.8380344232305915E-4</v>
      </c>
      <c r="G51" s="20">
        <f t="shared" si="6"/>
        <v>7.1975045555891623E-4</v>
      </c>
      <c r="H51" s="21">
        <f t="shared" si="3"/>
        <v>0.99728168904535219</v>
      </c>
    </row>
    <row r="52" spans="1:8" x14ac:dyDescent="0.25">
      <c r="A52" s="25">
        <f t="shared" si="4"/>
        <v>2014</v>
      </c>
      <c r="B52">
        <f t="shared" si="0"/>
        <v>30</v>
      </c>
      <c r="D52" s="20">
        <f t="shared" si="1"/>
        <v>5.994002999000251E-4</v>
      </c>
      <c r="E52" s="20">
        <f t="shared" si="2"/>
        <v>1.3191507554589413E-3</v>
      </c>
      <c r="F52" s="20">
        <f t="shared" si="5"/>
        <v>5.994002999000251E-4</v>
      </c>
      <c r="G52" s="20">
        <f t="shared" si="6"/>
        <v>1.3191507554589413E-3</v>
      </c>
      <c r="H52" s="21">
        <f t="shared" si="3"/>
        <v>0.99668348754605196</v>
      </c>
    </row>
    <row r="53" spans="1:8" x14ac:dyDescent="0.25">
      <c r="A53" s="25">
        <f t="shared" si="4"/>
        <v>2015</v>
      </c>
      <c r="B53">
        <f t="shared" si="0"/>
        <v>31</v>
      </c>
      <c r="D53" s="20">
        <f t="shared" si="1"/>
        <v>8.625082972024005E-4</v>
      </c>
      <c r="E53" s="20">
        <f t="shared" si="2"/>
        <v>2.1816590526613417E-3</v>
      </c>
      <c r="F53" s="20">
        <f t="shared" si="5"/>
        <v>8.625082972024005E-4</v>
      </c>
      <c r="G53" s="20">
        <f t="shared" si="6"/>
        <v>2.1816590526613417E-3</v>
      </c>
      <c r="H53" s="21">
        <f t="shared" si="3"/>
        <v>0.99582270426544395</v>
      </c>
    </row>
    <row r="54" spans="1:8" x14ac:dyDescent="0.25">
      <c r="A54" s="25">
        <f t="shared" si="4"/>
        <v>2016</v>
      </c>
      <c r="B54">
        <f t="shared" si="0"/>
        <v>32</v>
      </c>
      <c r="D54" s="20">
        <f t="shared" si="1"/>
        <v>1.1727774793203795E-3</v>
      </c>
      <c r="E54" s="20">
        <f t="shared" si="2"/>
        <v>3.3544365319817214E-3</v>
      </c>
      <c r="F54" s="20">
        <f t="shared" si="5"/>
        <v>1.1727774793203795E-3</v>
      </c>
      <c r="G54" s="20">
        <f t="shared" si="6"/>
        <v>3.3544365319817214E-3</v>
      </c>
      <c r="H54" s="21">
        <f t="shared" si="3"/>
        <v>0.99465227234108222</v>
      </c>
    </row>
    <row r="55" spans="1:8" x14ac:dyDescent="0.25">
      <c r="A55" s="25">
        <f t="shared" si="4"/>
        <v>2017</v>
      </c>
      <c r="B55">
        <f t="shared" si="0"/>
        <v>33</v>
      </c>
      <c r="D55" s="20">
        <f t="shared" si="1"/>
        <v>1.5297214113277017E-3</v>
      </c>
      <c r="E55" s="20">
        <f t="shared" si="2"/>
        <v>4.8841579433094228E-3</v>
      </c>
      <c r="F55" s="20">
        <f t="shared" si="5"/>
        <v>1.5297214113277017E-3</v>
      </c>
      <c r="G55" s="20">
        <f t="shared" si="6"/>
        <v>4.8841579433094228E-3</v>
      </c>
      <c r="H55" s="21">
        <f t="shared" si="3"/>
        <v>0.99312561037257718</v>
      </c>
    </row>
    <row r="56" spans="1:8" x14ac:dyDescent="0.25">
      <c r="A56" s="25">
        <f t="shared" si="4"/>
        <v>2018</v>
      </c>
      <c r="B56">
        <f t="shared" si="0"/>
        <v>34</v>
      </c>
      <c r="D56" s="20">
        <f t="shared" si="1"/>
        <v>1.9326955877069119E-3</v>
      </c>
      <c r="E56" s="20">
        <f t="shared" si="2"/>
        <v>6.8168535310163345E-3</v>
      </c>
      <c r="F56" s="20">
        <f t="shared" si="5"/>
        <v>1.9326955877069119E-3</v>
      </c>
      <c r="G56" s="20">
        <f t="shared" si="6"/>
        <v>6.8168535310163345E-3</v>
      </c>
      <c r="H56" s="21">
        <f t="shared" si="3"/>
        <v>0.99119678017604573</v>
      </c>
    </row>
    <row r="57" spans="1:8" x14ac:dyDescent="0.25">
      <c r="A57" s="25">
        <f t="shared" si="4"/>
        <v>2019</v>
      </c>
      <c r="B57">
        <f t="shared" si="0"/>
        <v>35</v>
      </c>
      <c r="D57" s="20">
        <f t="shared" si="1"/>
        <v>2.3808765956089459E-3</v>
      </c>
      <c r="E57" s="20">
        <f t="shared" si="2"/>
        <v>9.1977301266252809E-3</v>
      </c>
      <c r="F57" s="20">
        <f t="shared" si="5"/>
        <v>2.3808765956089459E-3</v>
      </c>
      <c r="G57" s="20">
        <f t="shared" si="6"/>
        <v>9.1977301266252809E-3</v>
      </c>
      <c r="H57" s="21">
        <f t="shared" si="3"/>
        <v>0.988820665333628</v>
      </c>
    </row>
    <row r="58" spans="1:8" x14ac:dyDescent="0.25">
      <c r="A58" s="25">
        <f t="shared" si="4"/>
        <v>2020</v>
      </c>
      <c r="B58">
        <f t="shared" si="0"/>
        <v>36</v>
      </c>
      <c r="D58" s="20">
        <f t="shared" si="1"/>
        <v>2.8732422528544551E-3</v>
      </c>
      <c r="E58" s="20">
        <f t="shared" si="2"/>
        <v>1.2070972379479735E-2</v>
      </c>
      <c r="F58" s="20">
        <f t="shared" si="5"/>
        <v>2.8732422528544551E-3</v>
      </c>
      <c r="G58" s="20">
        <f t="shared" si="6"/>
        <v>1.2070972379479735E-2</v>
      </c>
      <c r="H58" s="21">
        <f t="shared" si="3"/>
        <v>0.98595316956527923</v>
      </c>
    </row>
    <row r="59" spans="1:8" x14ac:dyDescent="0.25">
      <c r="A59" s="25">
        <f t="shared" si="4"/>
        <v>2021</v>
      </c>
      <c r="B59">
        <f t="shared" si="0"/>
        <v>37</v>
      </c>
      <c r="D59" s="20">
        <f t="shared" si="1"/>
        <v>3.4085529655058081E-3</v>
      </c>
      <c r="E59" s="20">
        <f t="shared" si="2"/>
        <v>1.5479525344985543E-2</v>
      </c>
      <c r="F59" s="20">
        <f t="shared" si="5"/>
        <v>3.4085529655058081E-3</v>
      </c>
      <c r="G59" s="20">
        <f t="shared" si="6"/>
        <v>1.5479525344985543E-2</v>
      </c>
      <c r="H59" s="21">
        <f t="shared" si="3"/>
        <v>0.98255143370570441</v>
      </c>
    </row>
    <row r="60" spans="1:8" x14ac:dyDescent="0.25">
      <c r="A60" s="25">
        <f t="shared" si="4"/>
        <v>2022</v>
      </c>
      <c r="B60">
        <f t="shared" si="0"/>
        <v>38</v>
      </c>
      <c r="D60" s="20">
        <f t="shared" si="1"/>
        <v>3.9853345709202096E-3</v>
      </c>
      <c r="E60" s="20">
        <f t="shared" si="2"/>
        <v>1.9464859915905752E-2</v>
      </c>
      <c r="F60" s="20">
        <f t="shared" si="5"/>
        <v>3.9853345709202096E-3</v>
      </c>
      <c r="G60" s="20">
        <f t="shared" si="6"/>
        <v>1.9464859915905752E-2</v>
      </c>
      <c r="H60" s="21">
        <f t="shared" si="3"/>
        <v>0.97857406980392603</v>
      </c>
    </row>
    <row r="61" spans="1:8" x14ac:dyDescent="0.25">
      <c r="A61" s="25">
        <f t="shared" si="4"/>
        <v>2023</v>
      </c>
      <c r="B61">
        <f t="shared" si="0"/>
        <v>39</v>
      </c>
      <c r="D61" s="20">
        <f t="shared" si="1"/>
        <v>4.601862949801222E-3</v>
      </c>
      <c r="E61" s="20">
        <f t="shared" si="2"/>
        <v>2.4066722865706974E-2</v>
      </c>
      <c r="F61" s="20">
        <f t="shared" si="5"/>
        <v>4.601862949801222E-3</v>
      </c>
      <c r="G61" s="20">
        <f t="shared" si="6"/>
        <v>2.4066722865706974E-2</v>
      </c>
      <c r="H61" s="21">
        <f t="shared" si="3"/>
        <v>0.97398141058002441</v>
      </c>
    </row>
    <row r="62" spans="1:8" x14ac:dyDescent="0.25">
      <c r="A62" s="25">
        <f t="shared" si="4"/>
        <v>2024</v>
      </c>
      <c r="B62">
        <f t="shared" si="0"/>
        <v>40</v>
      </c>
      <c r="D62" s="20">
        <f t="shared" si="1"/>
        <v>5.2561507042314182E-3</v>
      </c>
      <c r="E62" s="20">
        <f t="shared" si="2"/>
        <v>2.9322873569938391E-2</v>
      </c>
      <c r="F62" s="20">
        <f t="shared" si="5"/>
        <v>5.2561507042314182E-3</v>
      </c>
      <c r="G62" s="20">
        <f t="shared" si="6"/>
        <v>2.9322873569938391E-2</v>
      </c>
      <c r="H62" s="21">
        <f t="shared" si="3"/>
        <v>0.96873577217720142</v>
      </c>
    </row>
    <row r="63" spans="1:8" x14ac:dyDescent="0.25">
      <c r="A63" s="25">
        <f t="shared" si="4"/>
        <v>2025</v>
      </c>
      <c r="B63">
        <f t="shared" si="0"/>
        <v>41</v>
      </c>
      <c r="D63" s="20">
        <f t="shared" si="1"/>
        <v>5.9459362073104472E-3</v>
      </c>
      <c r="E63" s="20">
        <f t="shared" si="2"/>
        <v>3.526880977724884E-2</v>
      </c>
      <c r="F63" s="20">
        <f t="shared" si="5"/>
        <v>5.9459362073104472E-3</v>
      </c>
      <c r="G63" s="20">
        <f t="shared" si="6"/>
        <v>3.526880977724884E-2</v>
      </c>
      <c r="H63" s="21">
        <f t="shared" si="3"/>
        <v>0.96280172784230555</v>
      </c>
    </row>
    <row r="64" spans="1:8" x14ac:dyDescent="0.25">
      <c r="A64" s="25">
        <f t="shared" si="4"/>
        <v>2026</v>
      </c>
      <c r="B64">
        <f t="shared" si="0"/>
        <v>42</v>
      </c>
      <c r="D64" s="20">
        <f t="shared" si="1"/>
        <v>6.6686753331605423E-3</v>
      </c>
      <c r="E64" s="20">
        <f t="shared" si="2"/>
        <v>4.193748511040938E-2</v>
      </c>
      <c r="F64" s="20">
        <f t="shared" si="5"/>
        <v>6.6686753331605423E-3</v>
      </c>
      <c r="G64" s="20">
        <f t="shared" si="6"/>
        <v>4.193748511040938E-2</v>
      </c>
      <c r="H64" s="21">
        <f t="shared" si="3"/>
        <v>0.95614638985981137</v>
      </c>
    </row>
    <row r="65" spans="1:8" x14ac:dyDescent="0.25">
      <c r="A65" s="25">
        <f t="shared" si="4"/>
        <v>2027</v>
      </c>
      <c r="B65">
        <f t="shared" si="0"/>
        <v>43</v>
      </c>
      <c r="D65" s="20">
        <f t="shared" si="1"/>
        <v>7.4215361730391458E-3</v>
      </c>
      <c r="E65" s="20">
        <f t="shared" si="2"/>
        <v>4.9359021283448525E-2</v>
      </c>
      <c r="F65" s="20">
        <f t="shared" si="5"/>
        <v>7.4215361730391458E-3</v>
      </c>
      <c r="G65" s="20">
        <f t="shared" si="6"/>
        <v>4.9359021283448525E-2</v>
      </c>
      <c r="H65" s="21">
        <f t="shared" si="3"/>
        <v>0.94873969675911829</v>
      </c>
    </row>
    <row r="66" spans="1:8" x14ac:dyDescent="0.25">
      <c r="A66" s="25">
        <f t="shared" si="4"/>
        <v>2028</v>
      </c>
      <c r="B66">
        <f t="shared" si="0"/>
        <v>44</v>
      </c>
      <c r="D66" s="20">
        <f t="shared" si="1"/>
        <v>8.2013970335062941E-3</v>
      </c>
      <c r="E66" s="20">
        <f t="shared" si="2"/>
        <v>5.7560418316954819E-2</v>
      </c>
      <c r="F66" s="20">
        <f t="shared" si="5"/>
        <v>8.2013970335062941E-3</v>
      </c>
      <c r="G66" s="20">
        <f t="shared" si="6"/>
        <v>5.7560418316954819E-2</v>
      </c>
      <c r="H66" s="21">
        <f t="shared" si="3"/>
        <v>0.94055470251967899</v>
      </c>
    </row>
    <row r="67" spans="1:8" x14ac:dyDescent="0.25">
      <c r="A67" s="25">
        <f t="shared" si="4"/>
        <v>2029</v>
      </c>
      <c r="B67">
        <f t="shared" si="0"/>
        <v>45</v>
      </c>
      <c r="D67" s="20">
        <f t="shared" si="1"/>
        <v>9.004847995495004E-3</v>
      </c>
      <c r="E67" s="20">
        <f t="shared" si="2"/>
        <v>6.6565266312449828E-2</v>
      </c>
      <c r="F67" s="20">
        <f t="shared" si="5"/>
        <v>9.004847995495004E-3</v>
      </c>
      <c r="G67" s="20">
        <f t="shared" si="6"/>
        <v>6.6565266312449828E-2</v>
      </c>
      <c r="H67" s="21">
        <f t="shared" si="3"/>
        <v>0.93156786422017501</v>
      </c>
    </row>
    <row r="68" spans="1:8" x14ac:dyDescent="0.25">
      <c r="A68" s="25">
        <f t="shared" si="4"/>
        <v>2030</v>
      </c>
      <c r="B68">
        <f t="shared" si="0"/>
        <v>46</v>
      </c>
      <c r="D68" s="20">
        <f t="shared" si="1"/>
        <v>9.8281962882869195E-3</v>
      </c>
      <c r="E68" s="20">
        <f t="shared" si="2"/>
        <v>7.6393462600736747E-2</v>
      </c>
      <c r="F68" s="20">
        <f t="shared" si="5"/>
        <v>9.8281962882869195E-3</v>
      </c>
      <c r="G68" s="20">
        <f t="shared" si="6"/>
        <v>7.6393462600736747E-2</v>
      </c>
      <c r="H68" s="21">
        <f t="shared" si="3"/>
        <v>0.92175932432446461</v>
      </c>
    </row>
    <row r="69" spans="1:8" x14ac:dyDescent="0.25">
      <c r="A69" s="25">
        <f t="shared" si="4"/>
        <v>2031</v>
      </c>
      <c r="B69">
        <f t="shared" si="0"/>
        <v>47</v>
      </c>
      <c r="D69" s="20">
        <f t="shared" si="1"/>
        <v>1.0667475699488518E-2</v>
      </c>
      <c r="E69" s="20">
        <f t="shared" si="2"/>
        <v>8.7060938300225266E-2</v>
      </c>
      <c r="F69" s="20">
        <f t="shared" si="5"/>
        <v>1.0667475699488518E-2</v>
      </c>
      <c r="G69" s="20">
        <f t="shared" si="6"/>
        <v>8.7060938300225266E-2</v>
      </c>
      <c r="H69" s="21">
        <f t="shared" si="3"/>
        <v>0.91111318357637505</v>
      </c>
    </row>
    <row r="70" spans="1:8" x14ac:dyDescent="0.25">
      <c r="A70" s="25">
        <f t="shared" si="4"/>
        <v>2032</v>
      </c>
      <c r="B70">
        <f t="shared" si="0"/>
        <v>48</v>
      </c>
      <c r="D70" s="20">
        <f t="shared" si="1"/>
        <v>1.1518460200973633E-2</v>
      </c>
      <c r="E70" s="20">
        <f t="shared" si="2"/>
        <v>9.85793985011989E-2</v>
      </c>
      <c r="F70" s="20">
        <f t="shared" si="5"/>
        <v>1.1518460200973633E-2</v>
      </c>
      <c r="G70" s="20">
        <f t="shared" si="6"/>
        <v>9.85793985011989E-2</v>
      </c>
      <c r="H70" s="21">
        <f t="shared" si="3"/>
        <v>0.89961776029580331</v>
      </c>
    </row>
    <row r="71" spans="1:8" x14ac:dyDescent="0.25">
      <c r="A71" s="25">
        <f t="shared" si="4"/>
        <v>2033</v>
      </c>
      <c r="B71">
        <f t="shared" si="0"/>
        <v>49</v>
      </c>
      <c r="D71" s="20">
        <f t="shared" si="1"/>
        <v>1.2376681921422959E-2</v>
      </c>
      <c r="E71" s="20">
        <f t="shared" si="2"/>
        <v>0.11095608042262187</v>
      </c>
      <c r="F71" s="20">
        <f t="shared" si="5"/>
        <v>1.2376681921422959E-2</v>
      </c>
      <c r="G71" s="20">
        <f t="shared" si="6"/>
        <v>0.11095608042262187</v>
      </c>
      <c r="H71" s="21">
        <f t="shared" si="3"/>
        <v>0.88726583173822315</v>
      </c>
    </row>
    <row r="72" spans="1:8" x14ac:dyDescent="0.25">
      <c r="A72" s="25">
        <f t="shared" si="4"/>
        <v>2034</v>
      </c>
      <c r="B72">
        <f t="shared" si="0"/>
        <v>50</v>
      </c>
      <c r="D72" s="20">
        <f t="shared" si="1"/>
        <v>1.3237453538768932E-2</v>
      </c>
      <c r="E72" s="20">
        <f t="shared" si="2"/>
        <v>0.1241935339613908</v>
      </c>
      <c r="F72" s="20">
        <f t="shared" si="5"/>
        <v>1.3237453538768932E-2</v>
      </c>
      <c r="G72" s="20">
        <f t="shared" si="6"/>
        <v>0.1241935339613908</v>
      </c>
      <c r="H72" s="21">
        <f t="shared" si="3"/>
        <v>0.87405485310653175</v>
      </c>
    </row>
    <row r="73" spans="1:8" x14ac:dyDescent="0.25">
      <c r="A73" s="25">
        <f t="shared" si="4"/>
        <v>2035</v>
      </c>
      <c r="B73">
        <f t="shared" si="0"/>
        <v>51</v>
      </c>
      <c r="D73" s="20">
        <f t="shared" si="1"/>
        <v>1.4095895100988241E-2</v>
      </c>
      <c r="E73" s="20">
        <f t="shared" si="2"/>
        <v>0.13828942906237904</v>
      </c>
      <c r="F73" s="20">
        <f t="shared" si="5"/>
        <v>1.4095895100988241E-2</v>
      </c>
      <c r="G73" s="20">
        <f t="shared" si="6"/>
        <v>0.13828942906237904</v>
      </c>
      <c r="H73" s="21">
        <f t="shared" si="3"/>
        <v>0.85998714979574553</v>
      </c>
    </row>
    <row r="74" spans="1:8" x14ac:dyDescent="0.25">
      <c r="A74" s="25">
        <f t="shared" si="4"/>
        <v>2036</v>
      </c>
      <c r="B74">
        <f t="shared" si="0"/>
        <v>52</v>
      </c>
      <c r="D74" s="20">
        <f t="shared" si="1"/>
        <v>1.4946965211956072E-2</v>
      </c>
      <c r="E74" s="20">
        <f t="shared" si="2"/>
        <v>0.15323639427433511</v>
      </c>
      <c r="F74" s="20">
        <f t="shared" si="5"/>
        <v>1.4946965211956072E-2</v>
      </c>
      <c r="G74" s="20">
        <f t="shared" si="6"/>
        <v>0.15323639427433511</v>
      </c>
      <c r="H74" s="21">
        <f t="shared" si="3"/>
        <v>0.84507007851421334</v>
      </c>
    </row>
    <row r="75" spans="1:8" x14ac:dyDescent="0.25">
      <c r="A75" s="25">
        <f t="shared" si="4"/>
        <v>2037</v>
      </c>
      <c r="B75">
        <f t="shared" si="0"/>
        <v>53</v>
      </c>
      <c r="D75" s="20">
        <f t="shared" si="1"/>
        <v>1.5785496441419765E-2</v>
      </c>
      <c r="E75" s="20">
        <f t="shared" si="2"/>
        <v>0.16902189071575488</v>
      </c>
      <c r="F75" s="20">
        <f t="shared" si="5"/>
        <v>1.5785496441419765E-2</v>
      </c>
      <c r="G75" s="20">
        <f t="shared" si="6"/>
        <v>0.16902189071575488</v>
      </c>
      <c r="H75" s="21">
        <f t="shared" si="3"/>
        <v>0.82931615306567641</v>
      </c>
    </row>
    <row r="76" spans="1:8" x14ac:dyDescent="0.25">
      <c r="A76" s="25">
        <f t="shared" si="4"/>
        <v>2038</v>
      </c>
      <c r="B76">
        <f t="shared" si="0"/>
        <v>54</v>
      </c>
      <c r="D76" s="20">
        <f t="shared" si="1"/>
        <v>1.6606234735754077E-2</v>
      </c>
      <c r="E76" s="20">
        <f t="shared" si="2"/>
        <v>0.18562812545150895</v>
      </c>
      <c r="F76" s="20">
        <f t="shared" si="5"/>
        <v>1.6606234735754077E-2</v>
      </c>
      <c r="G76" s="20">
        <f t="shared" si="6"/>
        <v>0.18562812545150895</v>
      </c>
      <c r="H76" s="21">
        <f t="shared" si="3"/>
        <v>0.81274313079939386</v>
      </c>
    </row>
    <row r="77" spans="1:8" x14ac:dyDescent="0.25">
      <c r="A77" s="25">
        <f t="shared" si="4"/>
        <v>2039</v>
      </c>
      <c r="B77">
        <f t="shared" si="0"/>
        <v>55</v>
      </c>
      <c r="D77" s="20">
        <f t="shared" si="1"/>
        <v>1.7403882520467158E-2</v>
      </c>
      <c r="E77" s="20">
        <f t="shared" si="2"/>
        <v>0.2030320079719761</v>
      </c>
      <c r="F77" s="20">
        <f t="shared" si="5"/>
        <v>1.7403882520467158E-2</v>
      </c>
      <c r="G77" s="20">
        <f t="shared" si="6"/>
        <v>0.2030320079719761</v>
      </c>
      <c r="H77" s="21">
        <f t="shared" si="3"/>
        <v>0.7953740560439676</v>
      </c>
    </row>
    <row r="78" spans="1:8" x14ac:dyDescent="0.25">
      <c r="A78" s="25">
        <f t="shared" si="4"/>
        <v>2040</v>
      </c>
      <c r="B78">
        <f t="shared" si="0"/>
        <v>56</v>
      </c>
      <c r="D78" s="20">
        <f t="shared" si="1"/>
        <v>1.8173145098117828E-2</v>
      </c>
      <c r="E78" s="20">
        <f t="shared" si="2"/>
        <v>0.22120515307009392</v>
      </c>
      <c r="F78" s="20">
        <f t="shared" si="5"/>
        <v>1.8173145098117828E-2</v>
      </c>
      <c r="G78" s="20">
        <f t="shared" si="6"/>
        <v>0.22120515307009392</v>
      </c>
      <c r="H78" s="21">
        <f t="shared" si="3"/>
        <v>0.77723725723604598</v>
      </c>
    </row>
    <row r="79" spans="1:8" x14ac:dyDescent="0.25">
      <c r="A79" s="25">
        <f t="shared" si="4"/>
        <v>2041</v>
      </c>
      <c r="B79">
        <f t="shared" si="0"/>
        <v>57</v>
      </c>
      <c r="D79" s="20">
        <f t="shared" si="1"/>
        <v>1.8908779858282151E-2</v>
      </c>
      <c r="E79" s="20">
        <f t="shared" si="2"/>
        <v>0.24011393292837607</v>
      </c>
      <c r="F79" s="20">
        <f t="shared" si="5"/>
        <v>1.8908779858282151E-2</v>
      </c>
      <c r="G79" s="20">
        <f t="shared" si="6"/>
        <v>0.24011393292837607</v>
      </c>
      <c r="H79" s="21">
        <f t="shared" si="3"/>
        <v>0.75836629493748042</v>
      </c>
    </row>
    <row r="80" spans="1:8" x14ac:dyDescent="0.25">
      <c r="A80" s="25">
        <f t="shared" si="4"/>
        <v>2042</v>
      </c>
      <c r="B80">
        <f t="shared" si="0"/>
        <v>58</v>
      </c>
      <c r="D80" s="20">
        <f t="shared" si="1"/>
        <v>1.9605647731560465E-2</v>
      </c>
      <c r="E80" s="20">
        <f t="shared" si="2"/>
        <v>0.25971958065993656</v>
      </c>
      <c r="F80" s="20">
        <f t="shared" si="5"/>
        <v>1.9605647731560465E-2</v>
      </c>
      <c r="G80" s="20">
        <f t="shared" si="6"/>
        <v>0.25971958065993656</v>
      </c>
      <c r="H80" s="21">
        <f t="shared" si="3"/>
        <v>0.73879985850138308</v>
      </c>
    </row>
    <row r="81" spans="1:8" x14ac:dyDescent="0.25">
      <c r="A81" s="25">
        <f t="shared" si="4"/>
        <v>2043</v>
      </c>
      <c r="B81">
        <f t="shared" si="0"/>
        <v>59</v>
      </c>
      <c r="D81" s="20">
        <f t="shared" si="1"/>
        <v>2.0258766239581345E-2</v>
      </c>
      <c r="E81" s="20">
        <f t="shared" si="2"/>
        <v>0.27997834689951789</v>
      </c>
      <c r="F81" s="20">
        <f t="shared" si="5"/>
        <v>2.0258766239581345E-2</v>
      </c>
      <c r="G81" s="20">
        <f t="shared" si="6"/>
        <v>0.27997834689951789</v>
      </c>
      <c r="H81" s="21">
        <f t="shared" si="3"/>
        <v>0.71858160979428087</v>
      </c>
    </row>
    <row r="82" spans="1:8" x14ac:dyDescent="0.25">
      <c r="A82" s="25">
        <f t="shared" si="4"/>
        <v>2044</v>
      </c>
      <c r="B82">
        <f t="shared" si="0"/>
        <v>60</v>
      </c>
      <c r="D82" s="20">
        <f t="shared" si="1"/>
        <v>2.0863363419870131E-2</v>
      </c>
      <c r="E82" s="20">
        <f t="shared" si="2"/>
        <v>0.300841710319388</v>
      </c>
      <c r="F82" s="20">
        <f t="shared" si="5"/>
        <v>2.0863363419870131E-2</v>
      </c>
      <c r="G82" s="20">
        <f t="shared" si="6"/>
        <v>0.300841710319388</v>
      </c>
      <c r="H82" s="21">
        <f t="shared" si="3"/>
        <v>0.69775997310125049</v>
      </c>
    </row>
    <row r="83" spans="1:8" x14ac:dyDescent="0.25">
      <c r="A83" s="25">
        <f t="shared" si="4"/>
        <v>2045</v>
      </c>
      <c r="B83">
        <f t="shared" si="0"/>
        <v>61</v>
      </c>
      <c r="D83" s="20">
        <f t="shared" si="1"/>
        <v>2.1414931840675486E-2</v>
      </c>
      <c r="E83" s="20">
        <f t="shared" si="2"/>
        <v>0.3222566421600635</v>
      </c>
      <c r="F83" s="20">
        <f t="shared" si="5"/>
        <v>2.1414931840675486E-2</v>
      </c>
      <c r="G83" s="20">
        <f t="shared" si="6"/>
        <v>0.3222566421600635</v>
      </c>
      <c r="H83" s="21">
        <f t="shared" si="3"/>
        <v>0.67638787112425636</v>
      </c>
    </row>
    <row r="84" spans="1:8" x14ac:dyDescent="0.25">
      <c r="A84" s="25">
        <f t="shared" si="4"/>
        <v>2046</v>
      </c>
      <c r="B84">
        <f t="shared" si="0"/>
        <v>62</v>
      </c>
      <c r="D84" s="20">
        <f t="shared" si="1"/>
        <v>2.1909281868726333E-2</v>
      </c>
      <c r="E84" s="20">
        <f t="shared" si="2"/>
        <v>0.34416592402878982</v>
      </c>
      <c r="F84" s="20">
        <f t="shared" si="5"/>
        <v>2.1909281868726333E-2</v>
      </c>
      <c r="G84" s="20">
        <f t="shared" si="6"/>
        <v>0.34416592402878982</v>
      </c>
      <c r="H84" s="21">
        <f t="shared" si="3"/>
        <v>0.65452240781926752</v>
      </c>
    </row>
    <row r="85" spans="1:8" x14ac:dyDescent="0.25">
      <c r="A85" s="25">
        <f t="shared" si="4"/>
        <v>2047</v>
      </c>
      <c r="B85">
        <f t="shared" si="0"/>
        <v>63</v>
      </c>
      <c r="D85" s="20">
        <f t="shared" si="1"/>
        <v>2.2342593314655327E-2</v>
      </c>
      <c r="E85" s="20">
        <f t="shared" si="2"/>
        <v>0.36650851734344514</v>
      </c>
      <c r="F85" s="20">
        <f t="shared" si="5"/>
        <v>2.2342593314655327E-2</v>
      </c>
      <c r="G85" s="20">
        <f t="shared" si="6"/>
        <v>0.36650851734344514</v>
      </c>
      <c r="H85" s="21">
        <f t="shared" si="3"/>
        <v>0.6322244996912415</v>
      </c>
    </row>
    <row r="86" spans="1:8" x14ac:dyDescent="0.25">
      <c r="A86" s="25">
        <f t="shared" si="4"/>
        <v>2048</v>
      </c>
      <c r="B86">
        <f t="shared" si="0"/>
        <v>64</v>
      </c>
      <c r="D86" s="20">
        <f t="shared" si="1"/>
        <v>2.2711464558520734E-2</v>
      </c>
      <c r="E86" s="20">
        <f t="shared" si="2"/>
        <v>0.38921998190196588</v>
      </c>
      <c r="F86" s="20">
        <f t="shared" si="5"/>
        <v>2.2711464558520734E-2</v>
      </c>
      <c r="G86" s="20">
        <f t="shared" si="6"/>
        <v>0.38921998190196588</v>
      </c>
      <c r="H86" s="21">
        <f t="shared" si="3"/>
        <v>0.60955845806183784</v>
      </c>
    </row>
    <row r="87" spans="1:8" x14ac:dyDescent="0.25">
      <c r="A87" s="25">
        <f t="shared" si="4"/>
        <v>2049</v>
      </c>
      <c r="B87">
        <f t="shared" ref="B87:B138" si="7">A87-mfr_yr</f>
        <v>65</v>
      </c>
      <c r="D87" s="20">
        <f t="shared" ref="D87:D138" si="8">IF(B87&gt;=ups,((beta/eta)*(((B87-ups)/eta)^(beta-1))*(EXP(-1*(((B87-ups)/eta)^beta)))),0)</f>
        <v>2.3012958253268677E-2</v>
      </c>
      <c r="E87" s="20">
        <f t="shared" ref="E87:E138" si="9">IF((B87&gt;=ups),IF(E86+D87&gt;1,1,E86+D87),0)</f>
        <v>0.41223294015523454</v>
      </c>
      <c r="F87" s="20">
        <f t="shared" si="5"/>
        <v>2.3012958253268677E-2</v>
      </c>
      <c r="G87" s="20">
        <f t="shared" si="6"/>
        <v>0.41223294015523454</v>
      </c>
      <c r="H87" s="21">
        <f t="shared" ref="H87:H138" si="10">IF(B87&lt;=(ups+margin),alloc,IF(F87&gt;0,H86-alloc*F87,0))</f>
        <v>0.58659152572507567</v>
      </c>
    </row>
    <row r="88" spans="1:8" x14ac:dyDescent="0.25">
      <c r="A88" s="25">
        <f t="shared" ref="A88:A138" si="11">A87+1</f>
        <v>2050</v>
      </c>
      <c r="B88">
        <f t="shared" si="7"/>
        <v>66</v>
      </c>
      <c r="D88" s="20">
        <f t="shared" si="8"/>
        <v>2.3244642718538738E-2</v>
      </c>
      <c r="E88" s="20">
        <f t="shared" si="9"/>
        <v>0.43547758287377325</v>
      </c>
      <c r="F88" s="20">
        <f t="shared" ref="F88:F138" si="12">IF(B88&lt;ups+margin,0,IF(B88&gt;(2*eta+ups+margin),0,((beta/eta)*(((B88-ups-margin)/eta)^(beta-1))*(EXP(-1*(((B88-ups-margin)/eta)^beta))))))</f>
        <v>2.3244642718538738E-2</v>
      </c>
      <c r="G88" s="20">
        <f t="shared" ref="G88:G138" si="13">IF(B88&lt;=ups+margin,0,IF(F88=0,1,G87+F88))</f>
        <v>0.43547758287377325</v>
      </c>
      <c r="H88" s="21">
        <f t="shared" si="10"/>
        <v>0.56339337229197406</v>
      </c>
    </row>
    <row r="89" spans="1:8" x14ac:dyDescent="0.25">
      <c r="A89" s="25">
        <f t="shared" si="11"/>
        <v>2051</v>
      </c>
      <c r="B89">
        <f t="shared" si="7"/>
        <v>67</v>
      </c>
      <c r="D89" s="20">
        <f t="shared" si="8"/>
        <v>2.3404628171943453E-2</v>
      </c>
      <c r="E89" s="20">
        <f t="shared" si="9"/>
        <v>0.45888221104571669</v>
      </c>
      <c r="F89" s="20">
        <f t="shared" si="12"/>
        <v>2.3404628171943453E-2</v>
      </c>
      <c r="G89" s="20">
        <f t="shared" si="13"/>
        <v>0.45888221104571669</v>
      </c>
      <c r="H89" s="21">
        <f t="shared" si="10"/>
        <v>0.54003555337637454</v>
      </c>
    </row>
    <row r="90" spans="1:8" x14ac:dyDescent="0.25">
      <c r="A90" s="25">
        <f t="shared" si="11"/>
        <v>2052</v>
      </c>
      <c r="B90">
        <f t="shared" si="7"/>
        <v>68</v>
      </c>
      <c r="D90" s="20">
        <f t="shared" si="8"/>
        <v>2.3491597000373496E-2</v>
      </c>
      <c r="E90" s="20">
        <f t="shared" si="9"/>
        <v>0.4823738080460902</v>
      </c>
      <c r="F90" s="20">
        <f t="shared" si="12"/>
        <v>2.3491597000373496E-2</v>
      </c>
      <c r="G90" s="20">
        <f t="shared" si="13"/>
        <v>0.4823738080460902</v>
      </c>
      <c r="H90" s="21">
        <f t="shared" si="10"/>
        <v>0.51659093957000179</v>
      </c>
    </row>
    <row r="91" spans="1:8" x14ac:dyDescent="0.25">
      <c r="A91" s="25">
        <f t="shared" si="11"/>
        <v>2053</v>
      </c>
      <c r="B91">
        <f t="shared" si="7"/>
        <v>69</v>
      </c>
      <c r="D91" s="20">
        <f t="shared" si="8"/>
        <v>2.3504827349974285E-2</v>
      </c>
      <c r="E91" s="20">
        <f t="shared" si="9"/>
        <v>0.50587863539606448</v>
      </c>
      <c r="F91" s="20">
        <f t="shared" si="12"/>
        <v>2.3504827349974285E-2</v>
      </c>
      <c r="G91" s="20">
        <f t="shared" si="13"/>
        <v>0.50587863539606448</v>
      </c>
      <c r="H91" s="21">
        <f t="shared" si="10"/>
        <v>0.49313312187472746</v>
      </c>
    </row>
    <row r="92" spans="1:8" x14ac:dyDescent="0.25">
      <c r="A92" s="25">
        <f t="shared" si="11"/>
        <v>2054</v>
      </c>
      <c r="B92">
        <f t="shared" si="7"/>
        <v>70</v>
      </c>
      <c r="D92" s="20">
        <f t="shared" si="8"/>
        <v>2.3444209409595122E-2</v>
      </c>
      <c r="E92" s="20">
        <f t="shared" si="9"/>
        <v>0.52932284480565961</v>
      </c>
      <c r="F92" s="20">
        <f t="shared" si="12"/>
        <v>2.3444209409595122E-2</v>
      </c>
      <c r="G92" s="20">
        <f t="shared" si="13"/>
        <v>0.52932284480565961</v>
      </c>
      <c r="H92" s="21">
        <f t="shared" si="10"/>
        <v>0.4697358008839515</v>
      </c>
    </row>
    <row r="93" spans="1:8" x14ac:dyDescent="0.25">
      <c r="A93" s="25">
        <f t="shared" si="11"/>
        <v>2055</v>
      </c>
      <c r="B93">
        <f t="shared" si="7"/>
        <v>71</v>
      </c>
      <c r="D93" s="20">
        <f t="shared" si="8"/>
        <v>2.3310253877500044E-2</v>
      </c>
      <c r="E93" s="20">
        <f t="shared" si="9"/>
        <v>0.55263309868315968</v>
      </c>
      <c r="F93" s="20">
        <f t="shared" si="12"/>
        <v>2.3310253877500044E-2</v>
      </c>
      <c r="G93" s="20">
        <f t="shared" si="13"/>
        <v>0.55263309868315968</v>
      </c>
      <c r="H93" s="21">
        <f t="shared" si="10"/>
        <v>0.44647216751420649</v>
      </c>
    </row>
    <row r="94" spans="1:8" x14ac:dyDescent="0.25">
      <c r="A94" s="25">
        <f t="shared" si="11"/>
        <v>2056</v>
      </c>
      <c r="B94">
        <f t="shared" si="7"/>
        <v>72</v>
      </c>
      <c r="D94" s="20">
        <f t="shared" si="8"/>
        <v>2.3104092233096684E-2</v>
      </c>
      <c r="E94" s="20">
        <f t="shared" si="9"/>
        <v>0.57573719091625641</v>
      </c>
      <c r="F94" s="20">
        <f t="shared" si="12"/>
        <v>2.3104092233096684E-2</v>
      </c>
      <c r="G94" s="20">
        <f t="shared" si="13"/>
        <v>0.57573719091625641</v>
      </c>
      <c r="H94" s="21">
        <f t="shared" si="10"/>
        <v>0.42341428346557597</v>
      </c>
    </row>
    <row r="95" spans="1:8" x14ac:dyDescent="0.25">
      <c r="A95" s="25">
        <f t="shared" si="11"/>
        <v>2057</v>
      </c>
      <c r="B95">
        <f t="shared" si="7"/>
        <v>73</v>
      </c>
      <c r="D95" s="20">
        <f t="shared" si="8"/>
        <v>2.282746858192233E-2</v>
      </c>
      <c r="E95" s="20">
        <f t="shared" si="9"/>
        <v>0.59856465949817872</v>
      </c>
      <c r="F95" s="20">
        <f t="shared" si="12"/>
        <v>2.282746858192233E-2</v>
      </c>
      <c r="G95" s="20">
        <f t="shared" si="13"/>
        <v>0.59856465949817872</v>
      </c>
      <c r="H95" s="21">
        <f t="shared" si="10"/>
        <v>0.40063246982081746</v>
      </c>
    </row>
    <row r="96" spans="1:8" x14ac:dyDescent="0.25">
      <c r="A96" s="25">
        <f t="shared" si="11"/>
        <v>2058</v>
      </c>
      <c r="B96">
        <f t="shared" si="7"/>
        <v>74</v>
      </c>
      <c r="D96" s="20">
        <f t="shared" si="8"/>
        <v>2.2482723000089168E-2</v>
      </c>
      <c r="E96" s="20">
        <f t="shared" si="9"/>
        <v>0.62104738249826785</v>
      </c>
      <c r="F96" s="20">
        <f t="shared" si="12"/>
        <v>2.2482723000089168E-2</v>
      </c>
      <c r="G96" s="20">
        <f t="shared" si="13"/>
        <v>0.62104738249826785</v>
      </c>
      <c r="H96" s="21">
        <f t="shared" si="10"/>
        <v>0.37819471226672846</v>
      </c>
    </row>
    <row r="97" spans="1:8" x14ac:dyDescent="0.25">
      <c r="A97" s="25">
        <f t="shared" si="11"/>
        <v>2059</v>
      </c>
      <c r="B97">
        <f t="shared" si="7"/>
        <v>75</v>
      </c>
      <c r="D97" s="20">
        <f t="shared" si="8"/>
        <v>2.2072766470286539E-2</v>
      </c>
      <c r="E97" s="20">
        <f t="shared" si="9"/>
        <v>0.64312014896855441</v>
      </c>
      <c r="F97" s="20">
        <f t="shared" si="12"/>
        <v>2.2072766470286539E-2</v>
      </c>
      <c r="G97" s="20">
        <f t="shared" si="13"/>
        <v>0.64312014896855441</v>
      </c>
      <c r="H97" s="21">
        <f t="shared" si="10"/>
        <v>0.35616609132938248</v>
      </c>
    </row>
    <row r="98" spans="1:8" x14ac:dyDescent="0.25">
      <c r="A98" s="25">
        <f t="shared" si="11"/>
        <v>2060</v>
      </c>
      <c r="B98">
        <f t="shared" si="7"/>
        <v>76</v>
      </c>
      <c r="D98" s="20">
        <f t="shared" si="8"/>
        <v>2.16010476712927E-2</v>
      </c>
      <c r="E98" s="20">
        <f t="shared" si="9"/>
        <v>0.66472119663984708</v>
      </c>
      <c r="F98" s="20">
        <f t="shared" si="12"/>
        <v>2.16010476712927E-2</v>
      </c>
      <c r="G98" s="20">
        <f t="shared" si="13"/>
        <v>0.66472119663984708</v>
      </c>
      <c r="H98" s="21">
        <f t="shared" si="10"/>
        <v>0.3346082457534324</v>
      </c>
    </row>
    <row r="99" spans="1:8" x14ac:dyDescent="0.25">
      <c r="A99" s="25">
        <f t="shared" si="11"/>
        <v>2061</v>
      </c>
      <c r="B99">
        <f t="shared" si="7"/>
        <v>77</v>
      </c>
      <c r="D99" s="20">
        <f t="shared" si="8"/>
        <v>2.1071512052466091E-2</v>
      </c>
      <c r="E99" s="20">
        <f t="shared" si="9"/>
        <v>0.68579270869231312</v>
      </c>
      <c r="F99" s="20">
        <f t="shared" si="12"/>
        <v>2.1071512052466091E-2</v>
      </c>
      <c r="G99" s="20">
        <f t="shared" si="13"/>
        <v>0.68579270869231312</v>
      </c>
      <c r="H99" s="21">
        <f t="shared" si="10"/>
        <v>0.31357887672507123</v>
      </c>
    </row>
    <row r="100" spans="1:8" x14ac:dyDescent="0.25">
      <c r="A100" s="25">
        <f t="shared" si="11"/>
        <v>2062</v>
      </c>
      <c r="B100">
        <f t="shared" si="7"/>
        <v>78</v>
      </c>
      <c r="D100" s="20">
        <f t="shared" si="8"/>
        <v>2.0488553789372411E-2</v>
      </c>
      <c r="E100" s="20">
        <f t="shared" si="9"/>
        <v>0.70628126248168555</v>
      </c>
      <c r="F100" s="20">
        <f t="shared" si="12"/>
        <v>2.0488553789372411E-2</v>
      </c>
      <c r="G100" s="20">
        <f t="shared" si="13"/>
        <v>0.70628126248168555</v>
      </c>
      <c r="H100" s="21">
        <f t="shared" si="10"/>
        <v>0.29313130004327759</v>
      </c>
    </row>
    <row r="101" spans="1:8" x14ac:dyDescent="0.25">
      <c r="A101" s="25">
        <f t="shared" si="11"/>
        <v>2063</v>
      </c>
      <c r="B101">
        <f t="shared" si="7"/>
        <v>79</v>
      </c>
      <c r="D101" s="20">
        <f t="shared" si="8"/>
        <v>1.9856961372006217E-2</v>
      </c>
      <c r="E101" s="20">
        <f t="shared" si="9"/>
        <v>0.72613822385369176</v>
      </c>
      <c r="F101" s="20">
        <f t="shared" si="12"/>
        <v>1.9856961372006217E-2</v>
      </c>
      <c r="G101" s="20">
        <f t="shared" si="13"/>
        <v>0.72613822385369176</v>
      </c>
      <c r="H101" s="21">
        <f t="shared" si="10"/>
        <v>0.27331405259401537</v>
      </c>
    </row>
    <row r="102" spans="1:8" x14ac:dyDescent="0.25">
      <c r="A102" s="25">
        <f t="shared" si="11"/>
        <v>2064</v>
      </c>
      <c r="B102">
        <f t="shared" si="7"/>
        <v>80</v>
      </c>
      <c r="D102" s="20">
        <f t="shared" si="8"/>
        <v>1.9181857718522061E-2</v>
      </c>
      <c r="E102" s="20">
        <f t="shared" si="9"/>
        <v>0.74532008157221386</v>
      </c>
      <c r="F102" s="20">
        <f t="shared" si="12"/>
        <v>1.9181857718522061E-2</v>
      </c>
      <c r="G102" s="20">
        <f t="shared" si="13"/>
        <v>0.74532008157221386</v>
      </c>
      <c r="H102" s="21">
        <f t="shared" si="10"/>
        <v>0.25417055859093035</v>
      </c>
    </row>
    <row r="103" spans="1:8" x14ac:dyDescent="0.25">
      <c r="A103" s="25">
        <f t="shared" si="11"/>
        <v>2065</v>
      </c>
      <c r="B103">
        <f t="shared" si="7"/>
        <v>81</v>
      </c>
      <c r="D103" s="20">
        <f t="shared" si="8"/>
        <v>1.8468635830783304E-2</v>
      </c>
      <c r="E103" s="20">
        <f t="shared" si="9"/>
        <v>0.76378871740299714</v>
      </c>
      <c r="F103" s="20">
        <f t="shared" si="12"/>
        <v>1.8468635830783304E-2</v>
      </c>
      <c r="G103" s="20">
        <f t="shared" si="13"/>
        <v>0.76378871740299714</v>
      </c>
      <c r="H103" s="21">
        <f t="shared" si="10"/>
        <v>0.23573886003180861</v>
      </c>
    </row>
    <row r="104" spans="1:8" x14ac:dyDescent="0.25">
      <c r="A104" s="25">
        <f t="shared" si="11"/>
        <v>2066</v>
      </c>
      <c r="B104">
        <f t="shared" si="7"/>
        <v>82</v>
      </c>
      <c r="D104" s="20">
        <f t="shared" si="8"/>
        <v>1.7722891109547379E-2</v>
      </c>
      <c r="E104" s="20">
        <f t="shared" si="9"/>
        <v>0.78151160851254453</v>
      </c>
      <c r="F104" s="20">
        <f t="shared" si="12"/>
        <v>1.7722891109547379E-2</v>
      </c>
      <c r="G104" s="20">
        <f t="shared" si="13"/>
        <v>0.78151160851254453</v>
      </c>
      <c r="H104" s="21">
        <f t="shared" si="10"/>
        <v>0.21805141470448031</v>
      </c>
    </row>
    <row r="105" spans="1:8" x14ac:dyDescent="0.25">
      <c r="A105" s="25">
        <f t="shared" si="11"/>
        <v>2067</v>
      </c>
      <c r="B105">
        <f t="shared" si="7"/>
        <v>83</v>
      </c>
      <c r="D105" s="20">
        <f t="shared" si="8"/>
        <v>1.6950351523460631E-2</v>
      </c>
      <c r="E105" s="20">
        <f t="shared" si="9"/>
        <v>0.79846196003600511</v>
      </c>
      <c r="F105" s="20">
        <f t="shared" si="12"/>
        <v>1.6950351523460631E-2</v>
      </c>
      <c r="G105" s="20">
        <f t="shared" si="13"/>
        <v>0.79846196003600511</v>
      </c>
      <c r="H105" s="21">
        <f t="shared" si="10"/>
        <v>0.2011349638840666</v>
      </c>
    </row>
    <row r="106" spans="1:8" x14ac:dyDescent="0.25">
      <c r="A106" s="25">
        <f t="shared" si="11"/>
        <v>2068</v>
      </c>
      <c r="B106">
        <f t="shared" si="7"/>
        <v>84</v>
      </c>
      <c r="D106" s="20">
        <f t="shared" si="8"/>
        <v>1.6156806874635655E-2</v>
      </c>
      <c r="E106" s="20">
        <f t="shared" si="9"/>
        <v>0.81461876691064072</v>
      </c>
      <c r="F106" s="20">
        <f t="shared" si="12"/>
        <v>1.6156806874635655E-2</v>
      </c>
      <c r="G106" s="20">
        <f t="shared" si="13"/>
        <v>0.81461876691064072</v>
      </c>
      <c r="H106" s="21">
        <f t="shared" si="10"/>
        <v>0.18501047062318021</v>
      </c>
    </row>
    <row r="107" spans="1:8" x14ac:dyDescent="0.25">
      <c r="A107" s="25">
        <f t="shared" si="11"/>
        <v>2069</v>
      </c>
      <c r="B107">
        <f t="shared" si="7"/>
        <v>85</v>
      </c>
      <c r="D107" s="20">
        <f t="shared" si="8"/>
        <v>1.5348038422619658E-2</v>
      </c>
      <c r="E107" s="20">
        <f t="shared" si="9"/>
        <v>0.82996680533326039</v>
      </c>
      <c r="F107" s="20">
        <f t="shared" si="12"/>
        <v>1.5348038422619658E-2</v>
      </c>
      <c r="G107" s="20">
        <f t="shared" si="13"/>
        <v>0.82996680533326039</v>
      </c>
      <c r="H107" s="21">
        <f t="shared" si="10"/>
        <v>0.16969312827740579</v>
      </c>
    </row>
    <row r="108" spans="1:8" x14ac:dyDescent="0.25">
      <c r="A108" s="25">
        <f t="shared" si="11"/>
        <v>2070</v>
      </c>
      <c r="B108">
        <f t="shared" si="7"/>
        <v>86</v>
      </c>
      <c r="D108" s="20">
        <f t="shared" si="8"/>
        <v>1.4529750117101115E-2</v>
      </c>
      <c r="E108" s="20">
        <f t="shared" si="9"/>
        <v>0.84449655545036151</v>
      </c>
      <c r="F108" s="20">
        <f t="shared" si="12"/>
        <v>1.4529750117101115E-2</v>
      </c>
      <c r="G108" s="20">
        <f t="shared" si="13"/>
        <v>0.84449655545036151</v>
      </c>
      <c r="H108" s="21">
        <f t="shared" si="10"/>
        <v>0.15519243766053889</v>
      </c>
    </row>
    <row r="109" spans="1:8" x14ac:dyDescent="0.25">
      <c r="A109" s="25">
        <f t="shared" si="11"/>
        <v>2071</v>
      </c>
      <c r="B109">
        <f t="shared" si="7"/>
        <v>87</v>
      </c>
      <c r="D109" s="20">
        <f t="shared" si="8"/>
        <v>1.3707502647739929E-2</v>
      </c>
      <c r="E109" s="20">
        <f t="shared" si="9"/>
        <v>0.85820405809810141</v>
      </c>
      <c r="F109" s="20">
        <f t="shared" si="12"/>
        <v>1.3707502647739929E-2</v>
      </c>
      <c r="G109" s="20">
        <f t="shared" si="13"/>
        <v>0.85820405809810141</v>
      </c>
      <c r="H109" s="21">
        <f t="shared" si="10"/>
        <v>0.14151235001809445</v>
      </c>
    </row>
    <row r="110" spans="1:8" x14ac:dyDescent="0.25">
      <c r="A110" s="25">
        <f t="shared" si="11"/>
        <v>2072</v>
      </c>
      <c r="B110">
        <f t="shared" si="7"/>
        <v>88</v>
      </c>
      <c r="D110" s="20">
        <f t="shared" si="8"/>
        <v>1.2886651447996531E-2</v>
      </c>
      <c r="E110" s="20">
        <f t="shared" si="9"/>
        <v>0.87109070954609791</v>
      </c>
      <c r="F110" s="20">
        <f t="shared" si="12"/>
        <v>1.2886651447996531E-2</v>
      </c>
      <c r="G110" s="20">
        <f t="shared" si="13"/>
        <v>0.87109070954609791</v>
      </c>
      <c r="H110" s="21">
        <f t="shared" si="10"/>
        <v>0.12865147187299392</v>
      </c>
    </row>
    <row r="111" spans="1:8" x14ac:dyDescent="0.25">
      <c r="A111" s="25">
        <f t="shared" si="11"/>
        <v>2073</v>
      </c>
      <c r="B111">
        <f t="shared" si="7"/>
        <v>89</v>
      </c>
      <c r="D111" s="20">
        <f t="shared" si="8"/>
        <v>1.2072289690667646E-2</v>
      </c>
      <c r="E111" s="20">
        <f t="shared" si="9"/>
        <v>0.88316299923676556</v>
      </c>
      <c r="F111" s="20">
        <f t="shared" si="12"/>
        <v>1.2072289690667646E-2</v>
      </c>
      <c r="G111" s="20">
        <f t="shared" si="13"/>
        <v>0.88316299923676556</v>
      </c>
      <c r="H111" s="21">
        <f t="shared" si="10"/>
        <v>0.11660332676170761</v>
      </c>
    </row>
    <row r="112" spans="1:8" x14ac:dyDescent="0.25">
      <c r="A112" s="25">
        <f t="shared" si="11"/>
        <v>2074</v>
      </c>
      <c r="B112">
        <f t="shared" si="7"/>
        <v>90</v>
      </c>
      <c r="D112" s="20">
        <f t="shared" si="8"/>
        <v>1.1269197188793056E-2</v>
      </c>
      <c r="E112" s="20">
        <f t="shared" si="9"/>
        <v>0.8944321964255586</v>
      </c>
      <c r="F112" s="20">
        <f t="shared" si="12"/>
        <v>1.1269197188793056E-2</v>
      </c>
      <c r="G112" s="20">
        <f t="shared" si="13"/>
        <v>0.8944321964255586</v>
      </c>
      <c r="H112" s="21">
        <f t="shared" si="10"/>
        <v>0.10535666796729214</v>
      </c>
    </row>
    <row r="113" spans="1:8" x14ac:dyDescent="0.25">
      <c r="A113" s="25">
        <f t="shared" si="11"/>
        <v>2075</v>
      </c>
      <c r="B113">
        <f t="shared" si="7"/>
        <v>91</v>
      </c>
      <c r="D113" s="20">
        <f t="shared" si="8"/>
        <v>1.0481795970261217E-2</v>
      </c>
      <c r="E113" s="20">
        <f t="shared" si="9"/>
        <v>0.90491399239581982</v>
      </c>
      <c r="F113" s="20">
        <f t="shared" si="12"/>
        <v>1.0481795970261217E-2</v>
      </c>
      <c r="G113" s="20">
        <f t="shared" si="13"/>
        <v>0.90491399239581982</v>
      </c>
      <c r="H113" s="21">
        <f t="shared" si="10"/>
        <v>9.4895835588971439E-2</v>
      </c>
    </row>
    <row r="114" spans="1:8" x14ac:dyDescent="0.25">
      <c r="A114" s="25">
        <f t="shared" si="11"/>
        <v>2076</v>
      </c>
      <c r="B114">
        <f t="shared" si="7"/>
        <v>92</v>
      </c>
      <c r="D114" s="20">
        <f t="shared" si="8"/>
        <v>9.7141131320805339E-3</v>
      </c>
      <c r="E114" s="20">
        <f t="shared" si="9"/>
        <v>0.9146281055279003</v>
      </c>
      <c r="F114" s="20">
        <f t="shared" si="12"/>
        <v>9.7141131320805339E-3</v>
      </c>
      <c r="G114" s="20">
        <f t="shared" si="13"/>
        <v>0.9146281055279003</v>
      </c>
      <c r="H114" s="21">
        <f t="shared" si="10"/>
        <v>8.5201150683155064E-2</v>
      </c>
    </row>
    <row r="115" spans="1:8" x14ac:dyDescent="0.25">
      <c r="A115" s="25">
        <f t="shared" si="11"/>
        <v>2077</v>
      </c>
      <c r="B115">
        <f t="shared" si="7"/>
        <v>93</v>
      </c>
      <c r="D115" s="20">
        <f t="shared" si="8"/>
        <v>8.9697514057012605E-3</v>
      </c>
      <c r="E115" s="20">
        <f t="shared" si="9"/>
        <v>0.92359785693360152</v>
      </c>
      <c r="F115" s="20">
        <f t="shared" si="12"/>
        <v>8.9697514057012605E-3</v>
      </c>
      <c r="G115" s="20">
        <f t="shared" si="13"/>
        <v>0.92359785693360152</v>
      </c>
      <c r="H115" s="21">
        <f t="shared" si="10"/>
        <v>7.62493387802652E-2</v>
      </c>
    </row>
    <row r="116" spans="1:8" x14ac:dyDescent="0.25">
      <c r="A116" s="25">
        <f t="shared" si="11"/>
        <v>2078</v>
      </c>
      <c r="B116">
        <f t="shared" si="7"/>
        <v>94</v>
      </c>
      <c r="D116" s="20">
        <f t="shared" si="8"/>
        <v>8.2518676831399417E-3</v>
      </c>
      <c r="E116" s="20">
        <f t="shared" si="9"/>
        <v>0.93184972461674143</v>
      </c>
      <c r="F116" s="20">
        <f t="shared" si="12"/>
        <v>8.2518676831399417E-3</v>
      </c>
      <c r="G116" s="20">
        <f t="shared" si="13"/>
        <v>0.93184972461674143</v>
      </c>
      <c r="H116" s="21">
        <f t="shared" si="10"/>
        <v>6.8013974832491539E-2</v>
      </c>
    </row>
    <row r="117" spans="1:8" x14ac:dyDescent="0.25">
      <c r="A117" s="25">
        <f t="shared" si="11"/>
        <v>2079</v>
      </c>
      <c r="B117">
        <f t="shared" si="7"/>
        <v>95</v>
      </c>
      <c r="D117" s="20">
        <f t="shared" si="8"/>
        <v>7.563159570324318E-3</v>
      </c>
      <c r="E117" s="20">
        <f t="shared" si="9"/>
        <v>0.9394128841870657</v>
      </c>
      <c r="F117" s="20">
        <f t="shared" si="12"/>
        <v>7.563159570324318E-3</v>
      </c>
      <c r="G117" s="20">
        <f t="shared" si="13"/>
        <v>0.9394128841870657</v>
      </c>
      <c r="H117" s="21">
        <f t="shared" si="10"/>
        <v>6.0465941581307872E-2</v>
      </c>
    </row>
    <row r="118" spans="1:8" x14ac:dyDescent="0.25">
      <c r="A118" s="25">
        <f t="shared" si="11"/>
        <v>2080</v>
      </c>
      <c r="B118">
        <f t="shared" si="7"/>
        <v>96</v>
      </c>
      <c r="D118" s="20">
        <f t="shared" si="8"/>
        <v>6.9058598543773218E-3</v>
      </c>
      <c r="E118" s="20">
        <f t="shared" si="9"/>
        <v>0.94631874404144301</v>
      </c>
      <c r="F118" s="20">
        <f t="shared" si="12"/>
        <v>6.9058598543773218E-3</v>
      </c>
      <c r="G118" s="20">
        <f t="shared" si="13"/>
        <v>0.94631874404144301</v>
      </c>
      <c r="H118" s="21">
        <f t="shared" si="10"/>
        <v>5.3573893446639306E-2</v>
      </c>
    </row>
    <row r="119" spans="1:8" x14ac:dyDescent="0.25">
      <c r="A119" s="25">
        <f t="shared" si="11"/>
        <v>2081</v>
      </c>
      <c r="B119">
        <f t="shared" si="7"/>
        <v>97</v>
      </c>
      <c r="D119" s="20">
        <f t="shared" si="8"/>
        <v>6.2817386006228364E-3</v>
      </c>
      <c r="E119" s="20">
        <f t="shared" si="9"/>
        <v>0.95260048264206587</v>
      </c>
      <c r="F119" s="20">
        <f t="shared" si="12"/>
        <v>6.2817386006228364E-3</v>
      </c>
      <c r="G119" s="20">
        <f t="shared" si="13"/>
        <v>0.95260048264206587</v>
      </c>
      <c r="H119" s="21">
        <f t="shared" si="10"/>
        <v>4.7304718323217712E-2</v>
      </c>
    </row>
    <row r="120" spans="1:8" x14ac:dyDescent="0.25">
      <c r="A120" s="25">
        <f t="shared" si="11"/>
        <v>2082</v>
      </c>
      <c r="B120">
        <f t="shared" si="7"/>
        <v>98</v>
      </c>
      <c r="D120" s="20">
        <f t="shared" si="8"/>
        <v>5.6921124376624463E-3</v>
      </c>
      <c r="E120" s="20">
        <f t="shared" si="9"/>
        <v>0.9582925950797283</v>
      </c>
      <c r="F120" s="20">
        <f t="shared" si="12"/>
        <v>5.6921124376624463E-3</v>
      </c>
      <c r="G120" s="20">
        <f t="shared" si="13"/>
        <v>0.9582925950797283</v>
      </c>
      <c r="H120" s="21">
        <f t="shared" si="10"/>
        <v>4.1623990110430588E-2</v>
      </c>
    </row>
    <row r="121" spans="1:8" x14ac:dyDescent="0.25">
      <c r="A121" s="25">
        <f t="shared" si="11"/>
        <v>2083</v>
      </c>
      <c r="B121">
        <f t="shared" si="7"/>
        <v>99</v>
      </c>
      <c r="D121" s="20">
        <f t="shared" si="8"/>
        <v>5.1378604491213861E-3</v>
      </c>
      <c r="E121" s="20">
        <f t="shared" si="9"/>
        <v>0.96343045552884965</v>
      </c>
      <c r="F121" s="20">
        <f t="shared" si="12"/>
        <v>5.1378604491213861E-3</v>
      </c>
      <c r="G121" s="20">
        <f t="shared" si="13"/>
        <v>0.96343045552884965</v>
      </c>
      <c r="H121" s="21">
        <f t="shared" si="10"/>
        <v>3.6496405382207442E-2</v>
      </c>
    </row>
    <row r="122" spans="1:8" x14ac:dyDescent="0.25">
      <c r="A122" s="25">
        <f t="shared" si="11"/>
        <v>2084</v>
      </c>
      <c r="B122">
        <f t="shared" si="7"/>
        <v>100</v>
      </c>
      <c r="D122" s="20">
        <f t="shared" si="8"/>
        <v>4.6194459720749143E-3</v>
      </c>
      <c r="E122" s="20">
        <f t="shared" si="9"/>
        <v>0.96804990150092451</v>
      </c>
      <c r="F122" s="20">
        <f t="shared" si="12"/>
        <v>4.6194459720749143E-3</v>
      </c>
      <c r="G122" s="20">
        <f t="shared" si="13"/>
        <v>0.96804990150092451</v>
      </c>
      <c r="H122" s="21">
        <f t="shared" si="10"/>
        <v>3.1886198302076674E-2</v>
      </c>
    </row>
    <row r="123" spans="1:8" x14ac:dyDescent="0.25">
      <c r="A123" s="25">
        <f t="shared" si="11"/>
        <v>2085</v>
      </c>
      <c r="B123">
        <f t="shared" si="7"/>
        <v>101</v>
      </c>
      <c r="D123" s="20">
        <f t="shared" si="8"/>
        <v>4.1369435074134131E-3</v>
      </c>
      <c r="E123" s="20">
        <f t="shared" si="9"/>
        <v>0.97218684500833796</v>
      </c>
      <c r="F123" s="20">
        <f t="shared" si="12"/>
        <v>4.1369435074134131E-3</v>
      </c>
      <c r="G123" s="20">
        <f t="shared" si="13"/>
        <v>0.97218684500833796</v>
      </c>
      <c r="H123" s="21">
        <f t="shared" si="10"/>
        <v>2.7757528681678086E-2</v>
      </c>
    </row>
    <row r="124" spans="1:8" x14ac:dyDescent="0.25">
      <c r="A124" s="25">
        <f t="shared" si="11"/>
        <v>2086</v>
      </c>
      <c r="B124">
        <f t="shared" si="7"/>
        <v>102</v>
      </c>
      <c r="D124" s="20">
        <f t="shared" si="8"/>
        <v>3.6900698782681724E-3</v>
      </c>
      <c r="E124" s="20">
        <f t="shared" si="9"/>
        <v>0.97587691488660611</v>
      </c>
      <c r="F124" s="20">
        <f t="shared" si="12"/>
        <v>3.6900698782681724E-3</v>
      </c>
      <c r="G124" s="20">
        <f t="shared" si="13"/>
        <v>0.97587691488660611</v>
      </c>
      <c r="H124" s="21">
        <f t="shared" si="10"/>
        <v>2.4074838943166449E-2</v>
      </c>
    </row>
    <row r="125" spans="1:8" x14ac:dyDescent="0.25">
      <c r="A125" s="25">
        <f t="shared" si="11"/>
        <v>2087</v>
      </c>
      <c r="B125">
        <f t="shared" si="7"/>
        <v>103</v>
      </c>
      <c r="D125" s="20">
        <f t="shared" si="8"/>
        <v>3.2782187299569879E-3</v>
      </c>
      <c r="E125" s="20">
        <f t="shared" si="9"/>
        <v>0.97915513361656314</v>
      </c>
      <c r="F125" s="20">
        <f t="shared" si="12"/>
        <v>3.2782187299569879E-3</v>
      </c>
      <c r="G125" s="20">
        <f t="shared" si="13"/>
        <v>0.97915513361656314</v>
      </c>
      <c r="H125" s="21">
        <f t="shared" si="10"/>
        <v>2.0803176650669376E-2</v>
      </c>
    </row>
    <row r="126" spans="1:8" x14ac:dyDescent="0.25">
      <c r="A126" s="25">
        <f t="shared" si="11"/>
        <v>2088</v>
      </c>
      <c r="B126">
        <f t="shared" si="7"/>
        <v>104</v>
      </c>
      <c r="D126" s="20">
        <f t="shared" si="8"/>
        <v>2.9004974486513298E-3</v>
      </c>
      <c r="E126" s="20">
        <f t="shared" si="9"/>
        <v>0.98205563106521443</v>
      </c>
      <c r="F126" s="20">
        <f t="shared" si="12"/>
        <v>2.9004974486513298E-3</v>
      </c>
      <c r="G126" s="20">
        <f t="shared" si="13"/>
        <v>0.98205563106521443</v>
      </c>
      <c r="H126" s="21">
        <f t="shared" si="10"/>
        <v>1.790848019691535E-2</v>
      </c>
    </row>
    <row r="127" spans="1:8" x14ac:dyDescent="0.25">
      <c r="A127" s="25">
        <f t="shared" si="11"/>
        <v>2089</v>
      </c>
      <c r="B127">
        <f t="shared" si="7"/>
        <v>105</v>
      </c>
      <c r="D127" s="20">
        <f t="shared" si="8"/>
        <v>2.5557655851607469E-3</v>
      </c>
      <c r="E127" s="20">
        <f t="shared" si="9"/>
        <v>0.98461139665037523</v>
      </c>
      <c r="F127" s="20">
        <f t="shared" si="12"/>
        <v>2.5557655851607469E-3</v>
      </c>
      <c r="G127" s="20">
        <f t="shared" si="13"/>
        <v>0.98461139665037523</v>
      </c>
      <c r="H127" s="21">
        <f t="shared" si="10"/>
        <v>1.5357826142924923E-2</v>
      </c>
    </row>
    <row r="128" spans="1:8" x14ac:dyDescent="0.25">
      <c r="A128" s="25">
        <f t="shared" si="11"/>
        <v>2090</v>
      </c>
      <c r="B128">
        <f t="shared" si="7"/>
        <v>106</v>
      </c>
      <c r="D128" s="20">
        <f t="shared" si="8"/>
        <v>2.2426739031091475E-3</v>
      </c>
      <c r="E128" s="20">
        <f t="shared" si="9"/>
        <v>0.9868540705534844</v>
      </c>
      <c r="F128" s="20">
        <f t="shared" si="12"/>
        <v>2.2426739031091475E-3</v>
      </c>
      <c r="G128" s="20">
        <f t="shared" si="13"/>
        <v>0.9868540705534844</v>
      </c>
      <c r="H128" s="21">
        <f t="shared" si="10"/>
        <v>1.3119637587621994E-2</v>
      </c>
    </row>
    <row r="129" spans="1:8" x14ac:dyDescent="0.25">
      <c r="A129" s="25">
        <f t="shared" si="11"/>
        <v>2091</v>
      </c>
      <c r="B129">
        <f t="shared" si="7"/>
        <v>107</v>
      </c>
      <c r="D129" s="20">
        <f t="shared" si="8"/>
        <v>1.9597032248682067E-3</v>
      </c>
      <c r="E129" s="20">
        <f t="shared" si="9"/>
        <v>0.98881377377835256</v>
      </c>
      <c r="F129" s="20">
        <f t="shared" si="12"/>
        <v>1.9597032248682067E-3</v>
      </c>
      <c r="G129" s="20">
        <f t="shared" si="13"/>
        <v>0.98881377377835256</v>
      </c>
      <c r="H129" s="21">
        <f t="shared" si="10"/>
        <v>1.1163853769203525E-2</v>
      </c>
    </row>
    <row r="130" spans="1:8" x14ac:dyDescent="0.25">
      <c r="A130" s="25">
        <f t="shared" si="11"/>
        <v>2092</v>
      </c>
      <c r="B130">
        <f t="shared" si="7"/>
        <v>108</v>
      </c>
      <c r="D130" s="20">
        <f t="shared" si="8"/>
        <v>1.7052023208641871E-3</v>
      </c>
      <c r="E130" s="20">
        <f t="shared" si="9"/>
        <v>0.9905189760992168</v>
      </c>
      <c r="F130" s="20">
        <f t="shared" si="12"/>
        <v>1.7052023208641871E-3</v>
      </c>
      <c r="G130" s="20">
        <f t="shared" si="13"/>
        <v>0.9905189760992168</v>
      </c>
      <c r="H130" s="21">
        <f t="shared" si="10"/>
        <v>9.4620618529810668E-3</v>
      </c>
    </row>
    <row r="131" spans="1:8" x14ac:dyDescent="0.25">
      <c r="A131" s="25">
        <f t="shared" si="11"/>
        <v>2093</v>
      </c>
      <c r="B131">
        <f t="shared" si="7"/>
        <v>109</v>
      </c>
      <c r="D131" s="20">
        <f t="shared" si="8"/>
        <v>1.4774241748052464E-3</v>
      </c>
      <c r="E131" s="20">
        <f t="shared" si="9"/>
        <v>0.99199640027402203</v>
      </c>
      <c r="F131" s="20">
        <f t="shared" si="12"/>
        <v>1.4774241748052464E-3</v>
      </c>
      <c r="G131" s="20">
        <f t="shared" si="13"/>
        <v>0.99199640027402203</v>
      </c>
      <c r="H131" s="21">
        <f t="shared" si="10"/>
        <v>7.9875925265254308E-3</v>
      </c>
    </row>
    <row r="132" spans="1:8" x14ac:dyDescent="0.25">
      <c r="A132" s="25">
        <f t="shared" si="11"/>
        <v>2094</v>
      </c>
      <c r="B132">
        <f t="shared" si="7"/>
        <v>110</v>
      </c>
      <c r="D132" s="20">
        <f t="shared" si="8"/>
        <v>1.2745600552334405E-3</v>
      </c>
      <c r="E132" s="20">
        <f t="shared" si="9"/>
        <v>0.99327096032925544</v>
      </c>
      <c r="F132" s="20">
        <f t="shared" si="12"/>
        <v>1.2745600552334405E-3</v>
      </c>
      <c r="G132" s="20">
        <f t="shared" si="13"/>
        <v>0.99327096032925544</v>
      </c>
      <c r="H132" s="21">
        <f t="shared" si="10"/>
        <v>6.7155815914024574E-3</v>
      </c>
    </row>
    <row r="133" spans="1:8" x14ac:dyDescent="0.25">
      <c r="A133" s="25">
        <f t="shared" si="11"/>
        <v>2095</v>
      </c>
      <c r="B133">
        <f t="shared" si="7"/>
        <v>111</v>
      </c>
      <c r="D133" s="20">
        <f t="shared" si="8"/>
        <v>1.0947709287256865E-3</v>
      </c>
      <c r="E133" s="20">
        <f t="shared" si="9"/>
        <v>0.99436573125798111</v>
      </c>
      <c r="F133" s="20">
        <f t="shared" si="12"/>
        <v>1.0947709287256865E-3</v>
      </c>
      <c r="G133" s="20">
        <f t="shared" si="13"/>
        <v>0.99436573125798111</v>
      </c>
      <c r="H133" s="21">
        <f t="shared" si="10"/>
        <v>5.6230002045342224E-3</v>
      </c>
    </row>
    <row r="134" spans="1:8" x14ac:dyDescent="0.25">
      <c r="A134" s="25">
        <f t="shared" si="11"/>
        <v>2096</v>
      </c>
      <c r="B134">
        <f t="shared" si="7"/>
        <v>112</v>
      </c>
      <c r="D134" s="20">
        <f t="shared" si="8"/>
        <v>9.3621585823057667E-4</v>
      </c>
      <c r="E134" s="20">
        <f t="shared" si="9"/>
        <v>0.99530194711621167</v>
      </c>
      <c r="F134" s="20">
        <f t="shared" si="12"/>
        <v>9.3621585823057667E-4</v>
      </c>
      <c r="G134" s="20">
        <f t="shared" si="13"/>
        <v>0.99530194711621167</v>
      </c>
      <c r="H134" s="21">
        <f t="shared" si="10"/>
        <v>4.6886567780201069E-3</v>
      </c>
    </row>
    <row r="135" spans="1:8" x14ac:dyDescent="0.25">
      <c r="A135" s="25">
        <f t="shared" si="11"/>
        <v>2097</v>
      </c>
      <c r="B135">
        <f t="shared" si="7"/>
        <v>113</v>
      </c>
      <c r="D135" s="20">
        <f t="shared" si="8"/>
        <v>7.9707713780243048E-4</v>
      </c>
      <c r="E135" s="20">
        <f t="shared" si="9"/>
        <v>0.99609902425401409</v>
      </c>
      <c r="F135" s="20">
        <f t="shared" si="12"/>
        <v>7.9707713780243048E-4</v>
      </c>
      <c r="G135" s="20">
        <f t="shared" si="13"/>
        <v>0.99609902425401409</v>
      </c>
      <c r="H135" s="21">
        <f t="shared" si="10"/>
        <v>3.8931737944932813E-3</v>
      </c>
    </row>
    <row r="136" spans="1:8" x14ac:dyDescent="0.25">
      <c r="A136" s="25">
        <f t="shared" si="11"/>
        <v>2098</v>
      </c>
      <c r="B136">
        <f t="shared" si="7"/>
        <v>114</v>
      </c>
      <c r="D136" s="20">
        <f t="shared" si="8"/>
        <v>6.7558201906325194E-4</v>
      </c>
      <c r="E136" s="20">
        <f t="shared" si="9"/>
        <v>0.99677460627307735</v>
      </c>
      <c r="F136" s="20">
        <f t="shared" si="12"/>
        <v>6.7558201906325194E-4</v>
      </c>
      <c r="G136" s="20">
        <f t="shared" si="13"/>
        <v>0.99677460627307735</v>
      </c>
      <c r="H136" s="21">
        <f t="shared" si="10"/>
        <v>3.2189429394681559E-3</v>
      </c>
    </row>
    <row r="137" spans="1:8" x14ac:dyDescent="0.25">
      <c r="A137" s="25">
        <f t="shared" si="11"/>
        <v>2099</v>
      </c>
      <c r="B137">
        <f t="shared" si="7"/>
        <v>115</v>
      </c>
      <c r="D137" s="20">
        <f t="shared" si="8"/>
        <v>5.7002098218870794E-4</v>
      </c>
      <c r="E137" s="20">
        <f t="shared" si="9"/>
        <v>0.99734462725526607</v>
      </c>
      <c r="F137" s="20">
        <f t="shared" si="12"/>
        <v>5.7002098218870794E-4</v>
      </c>
      <c r="G137" s="20">
        <f t="shared" si="13"/>
        <v>0.99734462725526607</v>
      </c>
      <c r="H137" s="21">
        <f t="shared" si="10"/>
        <v>2.6500619992438253E-3</v>
      </c>
    </row>
    <row r="138" spans="1:8" x14ac:dyDescent="0.25">
      <c r="A138" s="25">
        <f t="shared" si="11"/>
        <v>2100</v>
      </c>
      <c r="B138">
        <f t="shared" si="7"/>
        <v>116</v>
      </c>
      <c r="D138" s="20">
        <f t="shared" si="8"/>
        <v>4.7876259267266142E-4</v>
      </c>
      <c r="E138" s="20">
        <f t="shared" si="9"/>
        <v>0.99782338984793872</v>
      </c>
      <c r="F138" s="20">
        <f t="shared" si="12"/>
        <v>4.7876259267266142E-4</v>
      </c>
      <c r="G138" s="20">
        <f t="shared" si="13"/>
        <v>0.99782338984793872</v>
      </c>
      <c r="H138" s="21">
        <f t="shared" si="10"/>
        <v>2.1722569317565092E-3</v>
      </c>
    </row>
    <row r="139" spans="1:8" x14ac:dyDescent="0.25">
      <c r="H139" s="9"/>
    </row>
  </sheetData>
  <mergeCells count="3">
    <mergeCell ref="A1:V3"/>
    <mergeCell ref="A4:V6"/>
    <mergeCell ref="A7:Q7"/>
  </mergeCells>
  <hyperlinks>
    <hyperlink ref="S20" r:id="rId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227"/>
  <sheetViews>
    <sheetView topLeftCell="D1" workbookViewId="0">
      <selection activeCell="S15" sqref="S15"/>
    </sheetView>
  </sheetViews>
  <sheetFormatPr defaultRowHeight="15" x14ac:dyDescent="0.25"/>
  <cols>
    <col min="3" max="4" width="25.85546875" style="32" customWidth="1"/>
    <col min="5" max="6" width="9.140625" style="32"/>
    <col min="8" max="9" width="20" customWidth="1"/>
    <col min="10" max="10" width="12.5703125" style="9" bestFit="1" customWidth="1"/>
    <col min="12" max="12" width="16.28515625" customWidth="1"/>
  </cols>
  <sheetData>
    <row r="1" spans="1:32" x14ac:dyDescent="0.25">
      <c r="A1" s="35" t="s">
        <v>31</v>
      </c>
      <c r="B1" s="35"/>
      <c r="C1" s="35"/>
      <c r="D1" s="35"/>
      <c r="E1" s="35"/>
      <c r="F1" s="35"/>
      <c r="G1" s="35"/>
      <c r="H1" s="35"/>
      <c r="I1" s="35"/>
      <c r="J1" s="35"/>
      <c r="K1" s="35"/>
      <c r="L1" s="35"/>
      <c r="M1" s="35"/>
      <c r="N1" s="35"/>
      <c r="O1" s="35"/>
      <c r="P1" s="35"/>
      <c r="Q1" s="35"/>
      <c r="R1" s="35"/>
      <c r="S1" s="35"/>
      <c r="T1" s="35"/>
      <c r="U1" s="35"/>
      <c r="V1" s="35"/>
      <c r="W1" s="35"/>
      <c r="X1" s="35"/>
      <c r="Y1" s="35"/>
    </row>
    <row r="2" spans="1:32" x14ac:dyDescent="0.25">
      <c r="A2" s="35"/>
      <c r="B2" s="35"/>
      <c r="C2" s="35"/>
      <c r="D2" s="35"/>
      <c r="E2" s="35"/>
      <c r="F2" s="35"/>
      <c r="G2" s="35"/>
      <c r="H2" s="35"/>
      <c r="I2" s="35"/>
      <c r="J2" s="35"/>
      <c r="K2" s="35"/>
      <c r="L2" s="35"/>
      <c r="M2" s="35"/>
      <c r="N2" s="35"/>
      <c r="O2" s="35"/>
      <c r="P2" s="35"/>
      <c r="Q2" s="35"/>
      <c r="R2" s="35"/>
      <c r="S2" s="35"/>
      <c r="T2" s="35"/>
      <c r="U2" s="35"/>
      <c r="V2" s="35"/>
      <c r="W2" s="35"/>
      <c r="X2" s="35"/>
      <c r="Y2" s="35"/>
    </row>
    <row r="3" spans="1:32" x14ac:dyDescent="0.25">
      <c r="A3" s="35"/>
      <c r="B3" s="35"/>
      <c r="C3" s="35"/>
      <c r="D3" s="35"/>
      <c r="E3" s="35"/>
      <c r="F3" s="35"/>
      <c r="G3" s="35"/>
      <c r="H3" s="35"/>
      <c r="I3" s="35"/>
      <c r="J3" s="35"/>
      <c r="K3" s="35"/>
      <c r="L3" s="35"/>
      <c r="M3" s="35"/>
      <c r="N3" s="35"/>
      <c r="O3" s="35"/>
      <c r="P3" s="35"/>
      <c r="Q3" s="35"/>
      <c r="R3" s="35"/>
      <c r="S3" s="35"/>
      <c r="T3" s="35"/>
      <c r="U3" s="35"/>
      <c r="V3" s="35"/>
      <c r="W3" s="35"/>
      <c r="X3" s="35"/>
      <c r="Y3" s="35"/>
    </row>
    <row r="4" spans="1:32" ht="26.25" customHeight="1" x14ac:dyDescent="0.25">
      <c r="A4" s="35" t="s">
        <v>32</v>
      </c>
      <c r="B4" s="35"/>
      <c r="C4" s="35"/>
      <c r="D4" s="35"/>
      <c r="E4" s="35"/>
      <c r="F4" s="35"/>
      <c r="G4" s="35"/>
      <c r="H4" s="35"/>
      <c r="I4" s="35"/>
      <c r="J4" s="35"/>
      <c r="K4" s="35"/>
      <c r="L4" s="35"/>
      <c r="M4" s="35"/>
      <c r="N4" s="35"/>
      <c r="O4" s="35"/>
      <c r="P4" s="35"/>
      <c r="Q4" s="35"/>
      <c r="R4" s="35"/>
      <c r="S4" s="35"/>
      <c r="T4" s="35"/>
      <c r="U4" s="35"/>
      <c r="V4" s="35"/>
      <c r="W4" s="35"/>
      <c r="X4" s="35"/>
      <c r="Y4" s="35"/>
      <c r="Z4" s="29"/>
      <c r="AA4" s="29"/>
      <c r="AB4" s="29"/>
      <c r="AC4" s="29"/>
      <c r="AD4" s="29"/>
      <c r="AE4" s="29"/>
      <c r="AF4" s="29"/>
    </row>
    <row r="5" spans="1:32" ht="26.25" customHeight="1" x14ac:dyDescent="0.25">
      <c r="A5" s="35"/>
      <c r="B5" s="35"/>
      <c r="C5" s="35"/>
      <c r="D5" s="35"/>
      <c r="E5" s="35"/>
      <c r="F5" s="35"/>
      <c r="G5" s="35"/>
      <c r="H5" s="35"/>
      <c r="I5" s="35"/>
      <c r="J5" s="35"/>
      <c r="K5" s="35"/>
      <c r="L5" s="35"/>
      <c r="M5" s="35"/>
      <c r="N5" s="35"/>
      <c r="O5" s="35"/>
      <c r="P5" s="35"/>
      <c r="Q5" s="35"/>
      <c r="R5" s="35"/>
      <c r="S5" s="35"/>
      <c r="T5" s="35"/>
      <c r="U5" s="35"/>
      <c r="V5" s="35"/>
      <c r="W5" s="35"/>
      <c r="X5" s="35"/>
      <c r="Y5" s="35"/>
      <c r="Z5" s="29"/>
      <c r="AA5" s="29"/>
      <c r="AB5" s="29"/>
      <c r="AC5" s="29"/>
      <c r="AD5" s="29"/>
      <c r="AE5" s="29"/>
      <c r="AF5" s="29"/>
    </row>
    <row r="6" spans="1:32" ht="15" customHeight="1" x14ac:dyDescent="0.25">
      <c r="A6" s="35"/>
      <c r="B6" s="35"/>
      <c r="C6" s="35"/>
      <c r="D6" s="35"/>
      <c r="E6" s="35"/>
      <c r="F6" s="35"/>
      <c r="G6" s="35"/>
      <c r="H6" s="35"/>
      <c r="I6" s="35"/>
      <c r="J6" s="35"/>
      <c r="K6" s="35"/>
      <c r="L6" s="35"/>
      <c r="M6" s="35"/>
      <c r="N6" s="35"/>
      <c r="O6" s="35"/>
      <c r="P6" s="35"/>
      <c r="Q6" s="35"/>
      <c r="R6" s="35"/>
      <c r="S6" s="35"/>
      <c r="T6" s="35"/>
      <c r="U6" s="35"/>
      <c r="V6" s="35"/>
      <c r="W6" s="35"/>
      <c r="X6" s="35"/>
      <c r="Y6" s="35"/>
      <c r="Z6" s="29"/>
      <c r="AA6" s="29"/>
      <c r="AB6" s="29"/>
      <c r="AC6" s="29"/>
      <c r="AD6" s="29"/>
      <c r="AE6" s="29"/>
      <c r="AF6" s="29"/>
    </row>
    <row r="7" spans="1:32" ht="15" customHeight="1" x14ac:dyDescent="0.25">
      <c r="A7" s="29"/>
      <c r="B7" s="29"/>
      <c r="C7" s="29"/>
      <c r="D7" s="30"/>
      <c r="E7" s="29"/>
      <c r="F7" s="29"/>
      <c r="G7" s="29"/>
      <c r="H7" s="30"/>
      <c r="I7" s="34"/>
      <c r="J7" s="29"/>
      <c r="K7" s="29"/>
      <c r="L7" s="29"/>
      <c r="M7" s="29"/>
      <c r="N7" s="29"/>
      <c r="O7" s="29"/>
      <c r="P7" s="29"/>
      <c r="Q7" s="29"/>
      <c r="R7" s="29"/>
      <c r="S7" s="29"/>
      <c r="T7" s="29"/>
      <c r="U7" s="29"/>
      <c r="V7" s="29"/>
      <c r="W7" s="29"/>
      <c r="X7" s="29"/>
      <c r="Y7" s="29"/>
      <c r="Z7" s="29"/>
      <c r="AA7" s="29"/>
      <c r="AB7" s="29"/>
      <c r="AC7" s="29"/>
      <c r="AD7" s="29"/>
      <c r="AE7" s="29"/>
      <c r="AF7" s="29"/>
    </row>
    <row r="8" spans="1:32" ht="26.25" x14ac:dyDescent="0.25">
      <c r="A8" s="35" t="s">
        <v>40</v>
      </c>
      <c r="B8" s="35"/>
      <c r="C8" s="35"/>
      <c r="D8" s="35"/>
      <c r="E8" s="35"/>
      <c r="F8" s="35"/>
      <c r="G8" s="35"/>
      <c r="H8" s="35"/>
      <c r="I8" s="35"/>
      <c r="J8" s="35"/>
      <c r="K8" s="35"/>
      <c r="L8" s="35"/>
      <c r="M8" s="35"/>
      <c r="N8" s="35"/>
      <c r="O8" s="35"/>
      <c r="P8" s="35"/>
      <c r="Q8" s="35"/>
      <c r="R8" s="35"/>
      <c r="S8" s="35"/>
      <c r="T8" s="35"/>
      <c r="U8" s="29"/>
      <c r="V8" s="29"/>
      <c r="W8" s="29"/>
      <c r="X8" s="29"/>
      <c r="Y8" s="29"/>
      <c r="Z8" s="29"/>
      <c r="AA8" s="29"/>
      <c r="AB8" s="29"/>
      <c r="AC8" s="29"/>
      <c r="AD8" s="29"/>
      <c r="AE8" s="29"/>
      <c r="AF8" s="29"/>
    </row>
    <row r="9" spans="1:32" ht="26.25" x14ac:dyDescent="0.25">
      <c r="A9" s="29"/>
      <c r="B9" s="29"/>
      <c r="C9" s="29"/>
      <c r="D9" s="30"/>
      <c r="E9" s="29"/>
      <c r="F9" s="29"/>
      <c r="G9" s="29"/>
      <c r="H9" s="30"/>
      <c r="I9" s="34"/>
      <c r="J9" s="29"/>
      <c r="K9" s="29"/>
      <c r="L9" s="29"/>
      <c r="M9" s="29"/>
      <c r="N9" s="29"/>
      <c r="O9" s="29"/>
      <c r="P9" s="29"/>
      <c r="Q9" s="29"/>
      <c r="R9" s="29"/>
      <c r="S9" s="29"/>
      <c r="T9" s="29"/>
      <c r="U9" s="29"/>
      <c r="V9" s="29"/>
      <c r="W9" s="29"/>
      <c r="X9" s="29"/>
      <c r="Y9" s="29"/>
      <c r="Z9" s="29"/>
      <c r="AA9" s="29"/>
      <c r="AB9" s="29"/>
      <c r="AC9" s="29"/>
      <c r="AD9" s="29"/>
      <c r="AE9" s="29"/>
      <c r="AF9" s="29"/>
    </row>
    <row r="10" spans="1:32" x14ac:dyDescent="0.25">
      <c r="C10" s="31" t="s">
        <v>33</v>
      </c>
      <c r="D10" s="31"/>
      <c r="E10" s="31" t="s">
        <v>34</v>
      </c>
      <c r="F10" s="31" t="s">
        <v>35</v>
      </c>
      <c r="G10" s="31" t="s">
        <v>36</v>
      </c>
      <c r="H10" s="31" t="s">
        <v>42</v>
      </c>
      <c r="I10" s="31"/>
      <c r="J10" s="9" t="s">
        <v>37</v>
      </c>
    </row>
    <row r="11" spans="1:32" x14ac:dyDescent="0.25">
      <c r="C11" s="32">
        <f>0.0277/32</f>
        <v>8.6562499999999997E-4</v>
      </c>
      <c r="E11" s="32">
        <v>1984</v>
      </c>
      <c r="F11" s="32">
        <v>1</v>
      </c>
      <c r="G11">
        <f t="shared" ref="G11:G42" si="0">resistor_alloc_rel*(1-F11*RdegradeRate)</f>
        <v>0.99613697187500005</v>
      </c>
      <c r="H11">
        <v>0.95</v>
      </c>
      <c r="L11" t="s">
        <v>38</v>
      </c>
    </row>
    <row r="12" spans="1:32" x14ac:dyDescent="0.25">
      <c r="E12" s="32">
        <v>1985</v>
      </c>
      <c r="F12" s="32">
        <v>2</v>
      </c>
      <c r="G12">
        <f t="shared" si="0"/>
        <v>0.99527394375</v>
      </c>
      <c r="H12">
        <v>0.95</v>
      </c>
      <c r="J12" s="9">
        <f>$G$11-G12</f>
        <v>8.6302812500005377E-4</v>
      </c>
    </row>
    <row r="13" spans="1:32" ht="18.75" x14ac:dyDescent="0.3">
      <c r="E13" s="32">
        <v>1986</v>
      </c>
      <c r="F13" s="32">
        <v>3</v>
      </c>
      <c r="G13">
        <f t="shared" si="0"/>
        <v>0.99441091562499995</v>
      </c>
      <c r="H13">
        <v>0.95</v>
      </c>
      <c r="J13" s="9">
        <f>$G$11-G13</f>
        <v>1.7260562500001075E-3</v>
      </c>
      <c r="L13" s="33" t="s">
        <v>41</v>
      </c>
      <c r="M13" s="2"/>
      <c r="N13" s="2"/>
      <c r="O13" s="2"/>
    </row>
    <row r="14" spans="1:32" x14ac:dyDescent="0.25">
      <c r="C14" s="32" t="s">
        <v>39</v>
      </c>
      <c r="E14" s="32">
        <v>1987</v>
      </c>
      <c r="F14" s="32">
        <v>4</v>
      </c>
      <c r="G14">
        <f t="shared" si="0"/>
        <v>0.9935478875</v>
      </c>
      <c r="H14">
        <v>0.95</v>
      </c>
      <c r="J14" s="9">
        <f t="shared" ref="J14:J76" si="1">$G$11-G14</f>
        <v>2.5890843750000503E-3</v>
      </c>
    </row>
    <row r="15" spans="1:32" x14ac:dyDescent="0.25">
      <c r="C15" s="32">
        <v>0.997</v>
      </c>
      <c r="E15" s="32">
        <v>1988</v>
      </c>
      <c r="F15" s="32">
        <v>5</v>
      </c>
      <c r="G15">
        <f t="shared" si="0"/>
        <v>0.99268485937499995</v>
      </c>
      <c r="H15">
        <v>0.95</v>
      </c>
      <c r="J15" s="9">
        <f t="shared" si="1"/>
        <v>3.4521125000001041E-3</v>
      </c>
    </row>
    <row r="16" spans="1:32" x14ac:dyDescent="0.25">
      <c r="E16" s="32">
        <v>1989</v>
      </c>
      <c r="F16" s="32">
        <v>6</v>
      </c>
      <c r="G16">
        <f t="shared" si="0"/>
        <v>0.99182183125000001</v>
      </c>
      <c r="H16">
        <v>0.95</v>
      </c>
      <c r="J16" s="9">
        <f t="shared" si="1"/>
        <v>4.3151406250000468E-3</v>
      </c>
    </row>
    <row r="17" spans="5:10" x14ac:dyDescent="0.25">
      <c r="E17" s="32">
        <v>1990</v>
      </c>
      <c r="F17" s="32">
        <v>7</v>
      </c>
      <c r="G17">
        <f t="shared" si="0"/>
        <v>0.99095880312500007</v>
      </c>
      <c r="H17">
        <v>0.95</v>
      </c>
      <c r="J17" s="9">
        <f t="shared" si="1"/>
        <v>5.1781687499999896E-3</v>
      </c>
    </row>
    <row r="18" spans="5:10" x14ac:dyDescent="0.25">
      <c r="E18" s="32">
        <v>1991</v>
      </c>
      <c r="F18" s="32">
        <v>8</v>
      </c>
      <c r="G18">
        <f t="shared" si="0"/>
        <v>0.99009577500000001</v>
      </c>
      <c r="H18">
        <v>0.95</v>
      </c>
      <c r="J18" s="9">
        <f t="shared" si="1"/>
        <v>6.0411968750000433E-3</v>
      </c>
    </row>
    <row r="19" spans="5:10" x14ac:dyDescent="0.25">
      <c r="E19" s="32">
        <v>1992</v>
      </c>
      <c r="F19" s="32">
        <v>9</v>
      </c>
      <c r="G19">
        <f t="shared" si="0"/>
        <v>0.98923274687499996</v>
      </c>
      <c r="H19">
        <v>0.95</v>
      </c>
      <c r="J19" s="9">
        <f t="shared" si="1"/>
        <v>6.9042250000000971E-3</v>
      </c>
    </row>
    <row r="20" spans="5:10" x14ac:dyDescent="0.25">
      <c r="E20" s="32">
        <v>1993</v>
      </c>
      <c r="F20" s="32">
        <v>10</v>
      </c>
      <c r="G20">
        <f t="shared" si="0"/>
        <v>0.98836971875000001</v>
      </c>
      <c r="H20">
        <v>0.95</v>
      </c>
      <c r="J20" s="9">
        <f t="shared" si="1"/>
        <v>7.7672531250000398E-3</v>
      </c>
    </row>
    <row r="21" spans="5:10" x14ac:dyDescent="0.25">
      <c r="E21" s="32">
        <v>1994</v>
      </c>
      <c r="F21" s="32">
        <v>11</v>
      </c>
      <c r="G21">
        <f t="shared" si="0"/>
        <v>0.98750669062499996</v>
      </c>
      <c r="H21">
        <v>0.95</v>
      </c>
      <c r="J21" s="9">
        <f t="shared" si="1"/>
        <v>8.6302812500000936E-3</v>
      </c>
    </row>
    <row r="22" spans="5:10" x14ac:dyDescent="0.25">
      <c r="E22" s="32">
        <v>1995</v>
      </c>
      <c r="F22" s="32">
        <v>12</v>
      </c>
      <c r="G22">
        <f t="shared" si="0"/>
        <v>0.98664366250000002</v>
      </c>
      <c r="H22">
        <v>0.95</v>
      </c>
      <c r="J22" s="9">
        <f t="shared" si="1"/>
        <v>9.4933093750000364E-3</v>
      </c>
    </row>
    <row r="23" spans="5:10" x14ac:dyDescent="0.25">
      <c r="E23" s="32">
        <v>1996</v>
      </c>
      <c r="F23" s="32">
        <v>13</v>
      </c>
      <c r="G23">
        <f t="shared" si="0"/>
        <v>0.98578063437500008</v>
      </c>
      <c r="H23">
        <v>0.95</v>
      </c>
      <c r="J23" s="9">
        <f t="shared" si="1"/>
        <v>1.0356337499999979E-2</v>
      </c>
    </row>
    <row r="24" spans="5:10" x14ac:dyDescent="0.25">
      <c r="E24" s="32">
        <v>1997</v>
      </c>
      <c r="F24" s="32">
        <v>14</v>
      </c>
      <c r="G24">
        <f t="shared" si="0"/>
        <v>0.98491760625000002</v>
      </c>
      <c r="H24">
        <v>0.95</v>
      </c>
      <c r="J24" s="9">
        <f t="shared" si="1"/>
        <v>1.1219365625000033E-2</v>
      </c>
    </row>
    <row r="25" spans="5:10" x14ac:dyDescent="0.25">
      <c r="E25" s="32">
        <v>1998</v>
      </c>
      <c r="F25" s="32">
        <v>15</v>
      </c>
      <c r="G25">
        <f t="shared" si="0"/>
        <v>0.98405457812499997</v>
      </c>
      <c r="H25">
        <v>0.95</v>
      </c>
      <c r="J25" s="9">
        <f t="shared" si="1"/>
        <v>1.2082393750000087E-2</v>
      </c>
    </row>
    <row r="26" spans="5:10" x14ac:dyDescent="0.25">
      <c r="E26" s="32">
        <v>1999</v>
      </c>
      <c r="F26" s="32">
        <v>16</v>
      </c>
      <c r="G26">
        <f t="shared" si="0"/>
        <v>0.98319154999999991</v>
      </c>
      <c r="H26">
        <v>0.95</v>
      </c>
      <c r="J26" s="9">
        <f t="shared" si="1"/>
        <v>1.294542187500014E-2</v>
      </c>
    </row>
    <row r="27" spans="5:10" x14ac:dyDescent="0.25">
      <c r="E27" s="32">
        <v>2000</v>
      </c>
      <c r="F27" s="32">
        <v>17</v>
      </c>
      <c r="G27">
        <f t="shared" si="0"/>
        <v>0.98232852187499997</v>
      </c>
      <c r="H27">
        <v>0.95</v>
      </c>
      <c r="J27" s="9">
        <f t="shared" si="1"/>
        <v>1.3808450000000083E-2</v>
      </c>
    </row>
    <row r="28" spans="5:10" x14ac:dyDescent="0.25">
      <c r="E28" s="32">
        <v>2001</v>
      </c>
      <c r="F28" s="32">
        <v>18</v>
      </c>
      <c r="G28">
        <f t="shared" si="0"/>
        <v>0.98146549375000003</v>
      </c>
      <c r="H28">
        <v>0.95</v>
      </c>
      <c r="J28" s="9">
        <f t="shared" si="1"/>
        <v>1.4671478125000026E-2</v>
      </c>
    </row>
    <row r="29" spans="5:10" x14ac:dyDescent="0.25">
      <c r="E29" s="32">
        <v>2002</v>
      </c>
      <c r="F29" s="32">
        <v>19</v>
      </c>
      <c r="G29">
        <f t="shared" si="0"/>
        <v>0.98060246562499997</v>
      </c>
      <c r="H29">
        <v>0.95</v>
      </c>
      <c r="J29" s="9">
        <f t="shared" si="1"/>
        <v>1.553450625000008E-2</v>
      </c>
    </row>
    <row r="30" spans="5:10" x14ac:dyDescent="0.25">
      <c r="E30" s="32">
        <v>2003</v>
      </c>
      <c r="F30" s="32">
        <v>20</v>
      </c>
      <c r="G30">
        <f t="shared" si="0"/>
        <v>0.97973943750000003</v>
      </c>
      <c r="H30">
        <v>0.95</v>
      </c>
      <c r="J30" s="9">
        <f t="shared" si="1"/>
        <v>1.6397534375000022E-2</v>
      </c>
    </row>
    <row r="31" spans="5:10" x14ac:dyDescent="0.25">
      <c r="E31" s="32">
        <v>2004</v>
      </c>
      <c r="F31" s="32">
        <v>21</v>
      </c>
      <c r="G31">
        <f t="shared" si="0"/>
        <v>0.97887640937499998</v>
      </c>
      <c r="H31">
        <v>0.95</v>
      </c>
      <c r="J31" s="9">
        <f t="shared" si="1"/>
        <v>1.7260562500000076E-2</v>
      </c>
    </row>
    <row r="32" spans="5:10" x14ac:dyDescent="0.25">
      <c r="E32" s="32">
        <v>2005</v>
      </c>
      <c r="F32" s="32">
        <v>22</v>
      </c>
      <c r="G32">
        <f t="shared" si="0"/>
        <v>0.97801338124999992</v>
      </c>
      <c r="H32">
        <v>0.95</v>
      </c>
      <c r="J32" s="9">
        <f t="shared" si="1"/>
        <v>1.812359062500013E-2</v>
      </c>
    </row>
    <row r="33" spans="5:10" x14ac:dyDescent="0.25">
      <c r="E33" s="32">
        <v>2006</v>
      </c>
      <c r="F33" s="32">
        <v>23</v>
      </c>
      <c r="G33">
        <f t="shared" si="0"/>
        <v>0.97715035312499998</v>
      </c>
      <c r="H33">
        <v>0.95</v>
      </c>
      <c r="J33" s="9">
        <f t="shared" si="1"/>
        <v>1.8986618750000073E-2</v>
      </c>
    </row>
    <row r="34" spans="5:10" x14ac:dyDescent="0.25">
      <c r="E34" s="32">
        <v>2007</v>
      </c>
      <c r="F34" s="32">
        <v>24</v>
      </c>
      <c r="G34">
        <f t="shared" si="0"/>
        <v>0.97628732500000004</v>
      </c>
      <c r="H34">
        <v>0.95</v>
      </c>
      <c r="J34" s="9">
        <f t="shared" si="1"/>
        <v>1.9849646875000015E-2</v>
      </c>
    </row>
    <row r="35" spans="5:10" x14ac:dyDescent="0.25">
      <c r="E35" s="32">
        <v>2008</v>
      </c>
      <c r="F35" s="32">
        <v>25</v>
      </c>
      <c r="G35">
        <f t="shared" si="0"/>
        <v>0.97542429687499999</v>
      </c>
      <c r="H35">
        <v>0.95</v>
      </c>
      <c r="J35" s="9">
        <f t="shared" si="1"/>
        <v>2.0712675000000069E-2</v>
      </c>
    </row>
    <row r="36" spans="5:10" x14ac:dyDescent="0.25">
      <c r="E36" s="32">
        <v>2009</v>
      </c>
      <c r="F36" s="32">
        <v>26</v>
      </c>
      <c r="G36">
        <f t="shared" si="0"/>
        <v>0.97456126875000004</v>
      </c>
      <c r="H36">
        <v>0.95</v>
      </c>
      <c r="J36" s="9">
        <f t="shared" si="1"/>
        <v>2.1575703125000012E-2</v>
      </c>
    </row>
    <row r="37" spans="5:10" x14ac:dyDescent="0.25">
      <c r="E37" s="32">
        <v>2010</v>
      </c>
      <c r="F37" s="32">
        <v>27</v>
      </c>
      <c r="G37">
        <f t="shared" si="0"/>
        <v>0.97369824062499999</v>
      </c>
      <c r="H37">
        <v>0.95</v>
      </c>
      <c r="J37" s="9">
        <f t="shared" si="1"/>
        <v>2.2438731250000066E-2</v>
      </c>
    </row>
    <row r="38" spans="5:10" x14ac:dyDescent="0.25">
      <c r="E38" s="32">
        <v>2011</v>
      </c>
      <c r="F38" s="32">
        <v>28</v>
      </c>
      <c r="G38">
        <f t="shared" si="0"/>
        <v>0.97283521249999994</v>
      </c>
      <c r="H38">
        <v>0.95</v>
      </c>
      <c r="J38" s="9">
        <f t="shared" si="1"/>
        <v>2.330175937500012E-2</v>
      </c>
    </row>
    <row r="39" spans="5:10" x14ac:dyDescent="0.25">
      <c r="E39" s="32">
        <v>2012</v>
      </c>
      <c r="F39" s="32">
        <v>29</v>
      </c>
      <c r="G39">
        <f t="shared" si="0"/>
        <v>0.97197218437499999</v>
      </c>
      <c r="H39">
        <v>0.95</v>
      </c>
      <c r="J39" s="9">
        <f t="shared" si="1"/>
        <v>2.4164787500000062E-2</v>
      </c>
    </row>
    <row r="40" spans="5:10" x14ac:dyDescent="0.25">
      <c r="E40" s="32">
        <v>2013</v>
      </c>
      <c r="F40" s="32">
        <v>30</v>
      </c>
      <c r="G40">
        <f t="shared" si="0"/>
        <v>0.97110915625000005</v>
      </c>
      <c r="H40">
        <v>0.95</v>
      </c>
      <c r="J40" s="9">
        <f t="shared" si="1"/>
        <v>2.5027815625000005E-2</v>
      </c>
    </row>
    <row r="41" spans="5:10" x14ac:dyDescent="0.25">
      <c r="E41" s="32">
        <v>2014</v>
      </c>
      <c r="F41" s="32">
        <v>31</v>
      </c>
      <c r="G41">
        <f t="shared" si="0"/>
        <v>0.970246128125</v>
      </c>
      <c r="H41">
        <v>0.95</v>
      </c>
      <c r="J41" s="9">
        <f t="shared" si="1"/>
        <v>2.5890843750000059E-2</v>
      </c>
    </row>
    <row r="42" spans="5:10" x14ac:dyDescent="0.25">
      <c r="E42" s="32">
        <v>2015</v>
      </c>
      <c r="F42" s="32">
        <v>32</v>
      </c>
      <c r="G42">
        <f t="shared" si="0"/>
        <v>0.96938310000000005</v>
      </c>
      <c r="H42">
        <v>0.95</v>
      </c>
      <c r="J42" s="9">
        <f t="shared" si="1"/>
        <v>2.6753871875000002E-2</v>
      </c>
    </row>
    <row r="43" spans="5:10" x14ac:dyDescent="0.25">
      <c r="E43" s="32">
        <v>2016</v>
      </c>
      <c r="F43" s="32">
        <v>33</v>
      </c>
      <c r="G43">
        <f t="shared" ref="G43:G74" si="2">resistor_alloc_rel*(1-F43*RdegradeRate)</f>
        <v>0.968520071875</v>
      </c>
      <c r="H43">
        <v>0.95</v>
      </c>
      <c r="J43" s="9">
        <f t="shared" si="1"/>
        <v>2.7616900000000055E-2</v>
      </c>
    </row>
    <row r="44" spans="5:10" x14ac:dyDescent="0.25">
      <c r="E44" s="32">
        <v>2017</v>
      </c>
      <c r="F44" s="32">
        <v>34</v>
      </c>
      <c r="G44">
        <f t="shared" si="2"/>
        <v>0.96765704374999995</v>
      </c>
      <c r="H44">
        <v>0.95</v>
      </c>
      <c r="J44" s="9">
        <f t="shared" si="1"/>
        <v>2.8479928125000109E-2</v>
      </c>
    </row>
    <row r="45" spans="5:10" x14ac:dyDescent="0.25">
      <c r="E45" s="32">
        <v>2018</v>
      </c>
      <c r="F45" s="32">
        <v>35</v>
      </c>
      <c r="G45">
        <f t="shared" si="2"/>
        <v>0.966794015625</v>
      </c>
      <c r="H45">
        <v>0.95</v>
      </c>
      <c r="J45" s="9">
        <f t="shared" si="1"/>
        <v>2.9342956250000052E-2</v>
      </c>
    </row>
    <row r="46" spans="5:10" x14ac:dyDescent="0.25">
      <c r="E46" s="32">
        <v>2019</v>
      </c>
      <c r="F46" s="32">
        <v>36</v>
      </c>
      <c r="G46">
        <f t="shared" si="2"/>
        <v>0.96593098750000006</v>
      </c>
      <c r="H46">
        <v>0.95</v>
      </c>
      <c r="J46" s="9">
        <f t="shared" si="1"/>
        <v>3.0205984374999995E-2</v>
      </c>
    </row>
    <row r="47" spans="5:10" x14ac:dyDescent="0.25">
      <c r="E47" s="32">
        <v>2020</v>
      </c>
      <c r="F47" s="32">
        <v>37</v>
      </c>
      <c r="G47">
        <f t="shared" si="2"/>
        <v>0.96506795937500001</v>
      </c>
      <c r="H47">
        <v>0.95</v>
      </c>
      <c r="J47" s="9">
        <f t="shared" si="1"/>
        <v>3.1069012500000048E-2</v>
      </c>
    </row>
    <row r="48" spans="5:10" x14ac:dyDescent="0.25">
      <c r="E48" s="32">
        <v>2021</v>
      </c>
      <c r="F48" s="32">
        <v>38</v>
      </c>
      <c r="G48">
        <f t="shared" si="2"/>
        <v>0.96420493125000006</v>
      </c>
      <c r="H48">
        <v>0.95</v>
      </c>
      <c r="J48" s="9">
        <f t="shared" si="1"/>
        <v>3.1932040624999991E-2</v>
      </c>
    </row>
    <row r="49" spans="5:10" x14ac:dyDescent="0.25">
      <c r="E49" s="32">
        <v>2022</v>
      </c>
      <c r="F49" s="32">
        <v>39</v>
      </c>
      <c r="G49">
        <f t="shared" si="2"/>
        <v>0.96334190312500001</v>
      </c>
      <c r="H49">
        <v>0.95</v>
      </c>
      <c r="J49" s="9">
        <f t="shared" si="1"/>
        <v>3.2795068750000045E-2</v>
      </c>
    </row>
    <row r="50" spans="5:10" x14ac:dyDescent="0.25">
      <c r="E50" s="32">
        <v>2023</v>
      </c>
      <c r="F50" s="32">
        <v>40</v>
      </c>
      <c r="G50">
        <f t="shared" si="2"/>
        <v>0.96247887499999996</v>
      </c>
      <c r="H50">
        <v>0.95</v>
      </c>
      <c r="J50" s="9">
        <f t="shared" si="1"/>
        <v>3.3658096875000099E-2</v>
      </c>
    </row>
    <row r="51" spans="5:10" x14ac:dyDescent="0.25">
      <c r="E51" s="32">
        <v>2024</v>
      </c>
      <c r="F51" s="32">
        <v>41</v>
      </c>
      <c r="G51">
        <f t="shared" si="2"/>
        <v>0.96161584687500001</v>
      </c>
      <c r="H51">
        <v>0.95</v>
      </c>
      <c r="J51" s="9">
        <f t="shared" si="1"/>
        <v>3.4521125000000041E-2</v>
      </c>
    </row>
    <row r="52" spans="5:10" x14ac:dyDescent="0.25">
      <c r="E52" s="32">
        <v>2025</v>
      </c>
      <c r="F52" s="32">
        <v>42</v>
      </c>
      <c r="G52">
        <f t="shared" si="2"/>
        <v>0.96075281875000007</v>
      </c>
      <c r="H52">
        <v>0.95</v>
      </c>
      <c r="J52" s="9">
        <f t="shared" si="1"/>
        <v>3.5384153124999984E-2</v>
      </c>
    </row>
    <row r="53" spans="5:10" x14ac:dyDescent="0.25">
      <c r="E53" s="32">
        <v>2026</v>
      </c>
      <c r="F53" s="32">
        <v>43</v>
      </c>
      <c r="G53">
        <f t="shared" si="2"/>
        <v>0.95988979062500002</v>
      </c>
      <c r="H53">
        <v>0.95</v>
      </c>
      <c r="J53" s="9">
        <f t="shared" si="1"/>
        <v>3.6247181250000038E-2</v>
      </c>
    </row>
    <row r="54" spans="5:10" x14ac:dyDescent="0.25">
      <c r="E54" s="32">
        <v>2027</v>
      </c>
      <c r="F54" s="32">
        <v>44</v>
      </c>
      <c r="G54">
        <f t="shared" si="2"/>
        <v>0.95902676249999996</v>
      </c>
      <c r="H54">
        <v>0.95</v>
      </c>
      <c r="J54" s="9">
        <f t="shared" si="1"/>
        <v>3.7110209375000092E-2</v>
      </c>
    </row>
    <row r="55" spans="5:10" x14ac:dyDescent="0.25">
      <c r="E55" s="32">
        <v>2028</v>
      </c>
      <c r="F55" s="32">
        <v>45</v>
      </c>
      <c r="G55">
        <f t="shared" si="2"/>
        <v>0.95816373437500002</v>
      </c>
      <c r="H55">
        <v>0.95</v>
      </c>
      <c r="J55" s="9">
        <f t="shared" si="1"/>
        <v>3.7973237500000034E-2</v>
      </c>
    </row>
    <row r="56" spans="5:10" x14ac:dyDescent="0.25">
      <c r="E56" s="32">
        <v>2029</v>
      </c>
      <c r="F56" s="32">
        <v>46</v>
      </c>
      <c r="G56">
        <f t="shared" si="2"/>
        <v>0.95730070624999997</v>
      </c>
      <c r="H56">
        <v>0.95</v>
      </c>
      <c r="J56" s="9">
        <f t="shared" si="1"/>
        <v>3.8836265625000088E-2</v>
      </c>
    </row>
    <row r="57" spans="5:10" x14ac:dyDescent="0.25">
      <c r="E57" s="32">
        <v>2030</v>
      </c>
      <c r="F57" s="32">
        <v>47</v>
      </c>
      <c r="G57">
        <f t="shared" si="2"/>
        <v>0.95643767812500002</v>
      </c>
      <c r="H57">
        <v>0.95</v>
      </c>
      <c r="J57" s="9">
        <f t="shared" si="1"/>
        <v>3.9699293750000031E-2</v>
      </c>
    </row>
    <row r="58" spans="5:10" x14ac:dyDescent="0.25">
      <c r="E58" s="32">
        <v>2031</v>
      </c>
      <c r="F58" s="32">
        <v>48</v>
      </c>
      <c r="G58">
        <f t="shared" si="2"/>
        <v>0.95557464999999997</v>
      </c>
      <c r="H58">
        <v>0.95</v>
      </c>
      <c r="J58" s="9">
        <f t="shared" si="1"/>
        <v>4.0562321875000085E-2</v>
      </c>
    </row>
    <row r="59" spans="5:10" x14ac:dyDescent="0.25">
      <c r="E59" s="32">
        <v>2032</v>
      </c>
      <c r="F59" s="32">
        <v>49</v>
      </c>
      <c r="G59">
        <f t="shared" si="2"/>
        <v>0.95471162187500003</v>
      </c>
      <c r="H59">
        <v>0.95</v>
      </c>
      <c r="J59" s="9">
        <f t="shared" si="1"/>
        <v>4.1425350000000027E-2</v>
      </c>
    </row>
    <row r="60" spans="5:10" x14ac:dyDescent="0.25">
      <c r="E60" s="32">
        <v>2033</v>
      </c>
      <c r="F60" s="32">
        <v>50</v>
      </c>
      <c r="G60">
        <f t="shared" si="2"/>
        <v>0.95384859374999997</v>
      </c>
      <c r="H60">
        <v>0.95</v>
      </c>
      <c r="J60" s="9">
        <f t="shared" si="1"/>
        <v>4.2288378125000081E-2</v>
      </c>
    </row>
    <row r="61" spans="5:10" x14ac:dyDescent="0.25">
      <c r="E61" s="32">
        <v>2034</v>
      </c>
      <c r="F61" s="32">
        <v>51</v>
      </c>
      <c r="G61">
        <f t="shared" si="2"/>
        <v>0.95298556562499992</v>
      </c>
      <c r="H61">
        <v>0.95</v>
      </c>
      <c r="J61" s="9">
        <f t="shared" si="1"/>
        <v>4.3151406250000135E-2</v>
      </c>
    </row>
    <row r="62" spans="5:10" x14ac:dyDescent="0.25">
      <c r="E62" s="32">
        <v>2035</v>
      </c>
      <c r="F62" s="32">
        <v>52</v>
      </c>
      <c r="G62">
        <f t="shared" si="2"/>
        <v>0.95212253749999998</v>
      </c>
      <c r="H62">
        <v>0.95</v>
      </c>
      <c r="J62" s="9">
        <f t="shared" si="1"/>
        <v>4.4014434375000078E-2</v>
      </c>
    </row>
    <row r="63" spans="5:10" x14ac:dyDescent="0.25">
      <c r="E63" s="32">
        <v>2036</v>
      </c>
      <c r="F63" s="32">
        <v>53</v>
      </c>
      <c r="G63">
        <f t="shared" si="2"/>
        <v>0.95125950937500003</v>
      </c>
      <c r="H63">
        <v>0.95</v>
      </c>
      <c r="J63" s="9">
        <f t="shared" si="1"/>
        <v>4.487746250000002E-2</v>
      </c>
    </row>
    <row r="64" spans="5:10" x14ac:dyDescent="0.25">
      <c r="E64" s="32">
        <v>2037</v>
      </c>
      <c r="F64" s="32">
        <v>54</v>
      </c>
      <c r="G64">
        <f t="shared" si="2"/>
        <v>0.95039648124999998</v>
      </c>
      <c r="H64">
        <v>0.95</v>
      </c>
      <c r="J64" s="9">
        <f t="shared" si="1"/>
        <v>4.5740490625000074E-2</v>
      </c>
    </row>
    <row r="65" spans="5:10" x14ac:dyDescent="0.25">
      <c r="E65" s="32">
        <v>2038</v>
      </c>
      <c r="F65" s="32">
        <v>55</v>
      </c>
      <c r="G65">
        <f t="shared" si="2"/>
        <v>0.94953345312500004</v>
      </c>
      <c r="H65">
        <v>0.95</v>
      </c>
      <c r="J65" s="9">
        <f t="shared" si="1"/>
        <v>4.6603518750000017E-2</v>
      </c>
    </row>
    <row r="66" spans="5:10" x14ac:dyDescent="0.25">
      <c r="E66" s="32">
        <v>2039</v>
      </c>
      <c r="F66" s="32">
        <v>56</v>
      </c>
      <c r="G66">
        <f t="shared" si="2"/>
        <v>0.94867042499999998</v>
      </c>
      <c r="H66">
        <v>0.95</v>
      </c>
      <c r="J66" s="9">
        <f t="shared" si="1"/>
        <v>4.7466546875000071E-2</v>
      </c>
    </row>
    <row r="67" spans="5:10" x14ac:dyDescent="0.25">
      <c r="E67" s="32">
        <v>2040</v>
      </c>
      <c r="F67" s="32">
        <v>57</v>
      </c>
      <c r="G67">
        <f t="shared" si="2"/>
        <v>0.94780739687499993</v>
      </c>
      <c r="H67">
        <v>0.95</v>
      </c>
      <c r="J67" s="9">
        <f t="shared" si="1"/>
        <v>4.8329575000000125E-2</v>
      </c>
    </row>
    <row r="68" spans="5:10" x14ac:dyDescent="0.25">
      <c r="E68" s="32">
        <v>2041</v>
      </c>
      <c r="F68" s="32">
        <v>58</v>
      </c>
      <c r="G68">
        <f t="shared" si="2"/>
        <v>0.94694436874999999</v>
      </c>
      <c r="H68">
        <v>0.95</v>
      </c>
      <c r="J68" s="9">
        <f t="shared" si="1"/>
        <v>4.9192603125000067E-2</v>
      </c>
    </row>
    <row r="69" spans="5:10" x14ac:dyDescent="0.25">
      <c r="E69" s="32">
        <v>2042</v>
      </c>
      <c r="F69" s="32">
        <v>59</v>
      </c>
      <c r="G69">
        <f t="shared" si="2"/>
        <v>0.94608134062500004</v>
      </c>
      <c r="H69">
        <v>0.95</v>
      </c>
      <c r="J69" s="9">
        <f t="shared" si="1"/>
        <v>5.005563125000001E-2</v>
      </c>
    </row>
    <row r="70" spans="5:10" x14ac:dyDescent="0.25">
      <c r="E70" s="32">
        <v>2043</v>
      </c>
      <c r="F70" s="32">
        <v>60</v>
      </c>
      <c r="G70">
        <f t="shared" si="2"/>
        <v>0.94521831249999999</v>
      </c>
      <c r="H70">
        <v>0.95</v>
      </c>
      <c r="J70" s="9">
        <f t="shared" si="1"/>
        <v>5.0918659375000064E-2</v>
      </c>
    </row>
    <row r="71" spans="5:10" x14ac:dyDescent="0.25">
      <c r="E71" s="32">
        <v>2044</v>
      </c>
      <c r="F71" s="32">
        <v>61</v>
      </c>
      <c r="G71">
        <f t="shared" si="2"/>
        <v>0.94435528437500005</v>
      </c>
      <c r="H71">
        <v>0.95</v>
      </c>
      <c r="J71" s="9">
        <f t="shared" si="1"/>
        <v>5.1781687500000007E-2</v>
      </c>
    </row>
    <row r="72" spans="5:10" x14ac:dyDescent="0.25">
      <c r="E72" s="32">
        <v>2045</v>
      </c>
      <c r="F72" s="32">
        <v>62</v>
      </c>
      <c r="G72">
        <f t="shared" si="2"/>
        <v>0.94349225624999999</v>
      </c>
      <c r="H72">
        <v>0.95</v>
      </c>
      <c r="J72" s="9">
        <f t="shared" si="1"/>
        <v>5.264471562500006E-2</v>
      </c>
    </row>
    <row r="73" spans="5:10" x14ac:dyDescent="0.25">
      <c r="E73" s="32">
        <v>2046</v>
      </c>
      <c r="F73" s="32">
        <v>63</v>
      </c>
      <c r="G73">
        <f t="shared" si="2"/>
        <v>0.94262922812499994</v>
      </c>
      <c r="H73">
        <v>0.95</v>
      </c>
      <c r="J73" s="9">
        <f t="shared" si="1"/>
        <v>5.3507743750000114E-2</v>
      </c>
    </row>
    <row r="74" spans="5:10" x14ac:dyDescent="0.25">
      <c r="E74" s="32">
        <v>2047</v>
      </c>
      <c r="F74" s="32">
        <v>64</v>
      </c>
      <c r="G74">
        <f t="shared" si="2"/>
        <v>0.9417662</v>
      </c>
      <c r="H74">
        <v>0.95</v>
      </c>
      <c r="J74" s="9">
        <f t="shared" si="1"/>
        <v>5.4370771875000057E-2</v>
      </c>
    </row>
    <row r="75" spans="5:10" x14ac:dyDescent="0.25">
      <c r="E75" s="32">
        <v>2048</v>
      </c>
      <c r="F75" s="32">
        <v>65</v>
      </c>
      <c r="G75">
        <f t="shared" ref="G75:G133" si="3">resistor_alloc_rel*(1-F75*RdegradeRate)</f>
        <v>0.94090317187500006</v>
      </c>
      <c r="H75">
        <v>0.95</v>
      </c>
      <c r="J75" s="9">
        <f t="shared" si="1"/>
        <v>5.52338E-2</v>
      </c>
    </row>
    <row r="76" spans="5:10" x14ac:dyDescent="0.25">
      <c r="E76" s="32">
        <v>2049</v>
      </c>
      <c r="F76" s="32">
        <v>66</v>
      </c>
      <c r="G76">
        <f t="shared" si="3"/>
        <v>0.94004014375</v>
      </c>
      <c r="H76">
        <v>0.95</v>
      </c>
      <c r="J76" s="9">
        <f t="shared" si="1"/>
        <v>5.6096828125000053E-2</v>
      </c>
    </row>
    <row r="77" spans="5:10" x14ac:dyDescent="0.25">
      <c r="E77" s="32">
        <v>2050</v>
      </c>
      <c r="F77" s="32">
        <v>67</v>
      </c>
      <c r="G77">
        <f t="shared" si="3"/>
        <v>0.93917711562500006</v>
      </c>
      <c r="H77">
        <v>0.95</v>
      </c>
    </row>
    <row r="78" spans="5:10" x14ac:dyDescent="0.25">
      <c r="E78" s="32">
        <v>2051</v>
      </c>
      <c r="F78" s="32">
        <v>68</v>
      </c>
      <c r="G78">
        <f t="shared" si="3"/>
        <v>0.9383140875</v>
      </c>
      <c r="H78">
        <v>0.95</v>
      </c>
    </row>
    <row r="79" spans="5:10" x14ac:dyDescent="0.25">
      <c r="E79" s="32">
        <v>2052</v>
      </c>
      <c r="F79" s="32">
        <v>69</v>
      </c>
      <c r="G79">
        <f t="shared" si="3"/>
        <v>0.93745105937499995</v>
      </c>
      <c r="H79">
        <v>0.95</v>
      </c>
    </row>
    <row r="80" spans="5:10" x14ac:dyDescent="0.25">
      <c r="E80" s="32">
        <v>2053</v>
      </c>
      <c r="F80" s="32">
        <v>70</v>
      </c>
      <c r="G80">
        <f t="shared" si="3"/>
        <v>0.93658803125000001</v>
      </c>
      <c r="H80">
        <v>0.95</v>
      </c>
    </row>
    <row r="81" spans="5:8" x14ac:dyDescent="0.25">
      <c r="E81" s="32">
        <v>2054</v>
      </c>
      <c r="F81" s="32">
        <v>71</v>
      </c>
      <c r="G81">
        <f t="shared" si="3"/>
        <v>0.93572500312500007</v>
      </c>
      <c r="H81">
        <v>0.95</v>
      </c>
    </row>
    <row r="82" spans="5:8" x14ac:dyDescent="0.25">
      <c r="E82" s="32">
        <v>2055</v>
      </c>
      <c r="F82" s="32">
        <v>72</v>
      </c>
      <c r="G82">
        <f t="shared" si="3"/>
        <v>0.93486197500000001</v>
      </c>
      <c r="H82">
        <v>0.95</v>
      </c>
    </row>
    <row r="83" spans="5:8" x14ac:dyDescent="0.25">
      <c r="E83" s="32">
        <v>2056</v>
      </c>
      <c r="F83" s="32">
        <v>73</v>
      </c>
      <c r="G83">
        <f t="shared" si="3"/>
        <v>0.93399894687499996</v>
      </c>
      <c r="H83">
        <v>0.95</v>
      </c>
    </row>
    <row r="84" spans="5:8" x14ac:dyDescent="0.25">
      <c r="E84" s="32">
        <v>2057</v>
      </c>
      <c r="F84" s="32">
        <v>74</v>
      </c>
      <c r="G84">
        <f t="shared" si="3"/>
        <v>0.93313591875000002</v>
      </c>
      <c r="H84">
        <v>0.95</v>
      </c>
    </row>
    <row r="85" spans="5:8" x14ac:dyDescent="0.25">
      <c r="E85" s="32">
        <v>2058</v>
      </c>
      <c r="F85" s="32">
        <v>75</v>
      </c>
      <c r="G85">
        <f t="shared" si="3"/>
        <v>0.93227289062499996</v>
      </c>
      <c r="H85">
        <v>0.95</v>
      </c>
    </row>
    <row r="86" spans="5:8" x14ac:dyDescent="0.25">
      <c r="E86" s="32">
        <v>2059</v>
      </c>
      <c r="F86" s="32">
        <v>76</v>
      </c>
      <c r="G86">
        <f t="shared" si="3"/>
        <v>0.93140986250000002</v>
      </c>
      <c r="H86">
        <v>0.95</v>
      </c>
    </row>
    <row r="87" spans="5:8" x14ac:dyDescent="0.25">
      <c r="E87" s="32">
        <v>2060</v>
      </c>
      <c r="F87" s="32">
        <v>77</v>
      </c>
      <c r="G87">
        <f t="shared" si="3"/>
        <v>0.93054683437499996</v>
      </c>
      <c r="H87">
        <v>0.95</v>
      </c>
    </row>
    <row r="88" spans="5:8" x14ac:dyDescent="0.25">
      <c r="E88" s="32">
        <v>2061</v>
      </c>
      <c r="F88" s="32">
        <v>78</v>
      </c>
      <c r="G88">
        <f t="shared" si="3"/>
        <v>0.92968380625000002</v>
      </c>
      <c r="H88">
        <v>0.95</v>
      </c>
    </row>
    <row r="89" spans="5:8" x14ac:dyDescent="0.25">
      <c r="E89" s="32">
        <v>2062</v>
      </c>
      <c r="F89" s="32">
        <v>79</v>
      </c>
      <c r="G89">
        <f t="shared" si="3"/>
        <v>0.92882077812500008</v>
      </c>
      <c r="H89">
        <v>0.95</v>
      </c>
    </row>
    <row r="90" spans="5:8" x14ac:dyDescent="0.25">
      <c r="E90" s="32">
        <v>2063</v>
      </c>
      <c r="F90" s="32">
        <v>80</v>
      </c>
      <c r="G90">
        <f t="shared" si="3"/>
        <v>0.92795774999999991</v>
      </c>
      <c r="H90">
        <v>0.95</v>
      </c>
    </row>
    <row r="91" spans="5:8" x14ac:dyDescent="0.25">
      <c r="E91" s="32">
        <v>2064</v>
      </c>
      <c r="F91" s="32">
        <v>81</v>
      </c>
      <c r="G91">
        <f t="shared" si="3"/>
        <v>0.92709472187499997</v>
      </c>
      <c r="H91">
        <v>0.95</v>
      </c>
    </row>
    <row r="92" spans="5:8" x14ac:dyDescent="0.25">
      <c r="E92" s="32">
        <v>2065</v>
      </c>
      <c r="F92" s="32">
        <v>82</v>
      </c>
      <c r="G92">
        <f t="shared" si="3"/>
        <v>0.92623169375000003</v>
      </c>
      <c r="H92">
        <v>0.95</v>
      </c>
    </row>
    <row r="93" spans="5:8" x14ac:dyDescent="0.25">
      <c r="E93" s="32">
        <v>2066</v>
      </c>
      <c r="F93" s="32">
        <v>83</v>
      </c>
      <c r="G93">
        <f t="shared" si="3"/>
        <v>0.92536866562499998</v>
      </c>
      <c r="H93">
        <v>0.95</v>
      </c>
    </row>
    <row r="94" spans="5:8" x14ac:dyDescent="0.25">
      <c r="E94" s="32">
        <v>2067</v>
      </c>
      <c r="F94" s="32">
        <v>84</v>
      </c>
      <c r="G94">
        <f t="shared" si="3"/>
        <v>0.92450563750000003</v>
      </c>
      <c r="H94">
        <v>0.95</v>
      </c>
    </row>
    <row r="95" spans="5:8" x14ac:dyDescent="0.25">
      <c r="E95" s="32">
        <v>2068</v>
      </c>
      <c r="F95" s="32">
        <v>85</v>
      </c>
      <c r="G95">
        <f t="shared" si="3"/>
        <v>0.92364260937499998</v>
      </c>
      <c r="H95">
        <v>0.95</v>
      </c>
    </row>
    <row r="96" spans="5:8" x14ac:dyDescent="0.25">
      <c r="E96" s="32">
        <v>2069</v>
      </c>
      <c r="F96" s="32">
        <v>86</v>
      </c>
      <c r="G96">
        <f t="shared" si="3"/>
        <v>0.92277958124999993</v>
      </c>
      <c r="H96">
        <v>0.95</v>
      </c>
    </row>
    <row r="97" spans="5:8" x14ac:dyDescent="0.25">
      <c r="E97" s="32">
        <v>2070</v>
      </c>
      <c r="F97" s="32">
        <v>87</v>
      </c>
      <c r="G97">
        <f t="shared" si="3"/>
        <v>0.92191655312499998</v>
      </c>
      <c r="H97">
        <v>0.95</v>
      </c>
    </row>
    <row r="98" spans="5:8" x14ac:dyDescent="0.25">
      <c r="E98" s="32">
        <v>2071</v>
      </c>
      <c r="F98" s="32">
        <v>88</v>
      </c>
      <c r="G98">
        <f t="shared" si="3"/>
        <v>0.92105352500000004</v>
      </c>
      <c r="H98">
        <v>0.95</v>
      </c>
    </row>
    <row r="99" spans="5:8" x14ac:dyDescent="0.25">
      <c r="E99" s="32">
        <v>2072</v>
      </c>
      <c r="F99" s="32">
        <v>89</v>
      </c>
      <c r="G99">
        <f t="shared" si="3"/>
        <v>0.92019049687499999</v>
      </c>
      <c r="H99">
        <v>0.95</v>
      </c>
    </row>
    <row r="100" spans="5:8" x14ac:dyDescent="0.25">
      <c r="E100" s="32">
        <v>2073</v>
      </c>
      <c r="F100" s="32">
        <v>90</v>
      </c>
      <c r="G100">
        <f t="shared" si="3"/>
        <v>0.91932746875000004</v>
      </c>
      <c r="H100">
        <v>0.95</v>
      </c>
    </row>
    <row r="101" spans="5:8" x14ac:dyDescent="0.25">
      <c r="E101" s="32">
        <v>2074</v>
      </c>
      <c r="F101" s="32">
        <v>91</v>
      </c>
      <c r="G101">
        <f t="shared" si="3"/>
        <v>0.9184644406250001</v>
      </c>
      <c r="H101">
        <v>0.95</v>
      </c>
    </row>
    <row r="102" spans="5:8" x14ac:dyDescent="0.25">
      <c r="E102" s="32">
        <v>2075</v>
      </c>
      <c r="F102" s="32">
        <v>92</v>
      </c>
      <c r="G102">
        <f t="shared" si="3"/>
        <v>0.91760141249999994</v>
      </c>
      <c r="H102">
        <v>0.95</v>
      </c>
    </row>
    <row r="103" spans="5:8" x14ac:dyDescent="0.25">
      <c r="E103" s="32">
        <v>2076</v>
      </c>
      <c r="F103" s="32">
        <v>93</v>
      </c>
      <c r="G103">
        <f t="shared" si="3"/>
        <v>0.91673838437499999</v>
      </c>
      <c r="H103">
        <v>0.95</v>
      </c>
    </row>
    <row r="104" spans="5:8" x14ac:dyDescent="0.25">
      <c r="E104" s="32">
        <v>2077</v>
      </c>
      <c r="F104" s="32">
        <v>94</v>
      </c>
      <c r="G104">
        <f t="shared" si="3"/>
        <v>0.91587535625000005</v>
      </c>
      <c r="H104">
        <v>0.95</v>
      </c>
    </row>
    <row r="105" spans="5:8" x14ac:dyDescent="0.25">
      <c r="E105" s="32">
        <v>2078</v>
      </c>
      <c r="F105" s="32">
        <v>95</v>
      </c>
      <c r="G105">
        <f t="shared" si="3"/>
        <v>0.915012328125</v>
      </c>
      <c r="H105">
        <v>0.95</v>
      </c>
    </row>
    <row r="106" spans="5:8" x14ac:dyDescent="0.25">
      <c r="E106" s="32">
        <v>2079</v>
      </c>
      <c r="F106" s="32">
        <v>96</v>
      </c>
      <c r="G106">
        <f t="shared" si="3"/>
        <v>0.91414930000000005</v>
      </c>
      <c r="H106">
        <v>0.95</v>
      </c>
    </row>
    <row r="107" spans="5:8" x14ac:dyDescent="0.25">
      <c r="E107" s="32">
        <v>2080</v>
      </c>
      <c r="F107" s="32">
        <v>97</v>
      </c>
      <c r="G107">
        <f t="shared" si="3"/>
        <v>0.913286271875</v>
      </c>
      <c r="H107">
        <v>0.95</v>
      </c>
    </row>
    <row r="108" spans="5:8" x14ac:dyDescent="0.25">
      <c r="E108" s="32">
        <v>2081</v>
      </c>
      <c r="F108" s="32">
        <v>98</v>
      </c>
      <c r="G108">
        <f t="shared" si="3"/>
        <v>0.91242324374999995</v>
      </c>
      <c r="H108">
        <v>0.95</v>
      </c>
    </row>
    <row r="109" spans="5:8" x14ac:dyDescent="0.25">
      <c r="E109" s="32">
        <v>2082</v>
      </c>
      <c r="F109" s="32">
        <v>99</v>
      </c>
      <c r="G109">
        <f t="shared" si="3"/>
        <v>0.911560215625</v>
      </c>
      <c r="H109">
        <v>0.95</v>
      </c>
    </row>
    <row r="110" spans="5:8" x14ac:dyDescent="0.25">
      <c r="E110" s="32">
        <v>2083</v>
      </c>
      <c r="F110" s="32">
        <v>100</v>
      </c>
      <c r="G110">
        <f t="shared" si="3"/>
        <v>0.91069718750000006</v>
      </c>
      <c r="H110">
        <v>0.95</v>
      </c>
    </row>
    <row r="111" spans="5:8" x14ac:dyDescent="0.25">
      <c r="E111" s="32">
        <v>2084</v>
      </c>
      <c r="F111" s="32">
        <v>101</v>
      </c>
      <c r="G111">
        <f t="shared" si="3"/>
        <v>0.90983415937500001</v>
      </c>
      <c r="H111">
        <v>0.95</v>
      </c>
    </row>
    <row r="112" spans="5:8" x14ac:dyDescent="0.25">
      <c r="E112" s="32">
        <v>2085</v>
      </c>
      <c r="F112" s="32">
        <v>102</v>
      </c>
      <c r="G112">
        <f t="shared" si="3"/>
        <v>0.90897113125000006</v>
      </c>
      <c r="H112">
        <v>0.95</v>
      </c>
    </row>
    <row r="113" spans="5:8" x14ac:dyDescent="0.25">
      <c r="E113" s="32">
        <v>2086</v>
      </c>
      <c r="F113" s="32">
        <v>103</v>
      </c>
      <c r="G113">
        <f t="shared" si="3"/>
        <v>0.90810810312500001</v>
      </c>
      <c r="H113">
        <v>0.95</v>
      </c>
    </row>
    <row r="114" spans="5:8" x14ac:dyDescent="0.25">
      <c r="E114" s="32">
        <v>2087</v>
      </c>
      <c r="F114" s="32">
        <v>104</v>
      </c>
      <c r="G114">
        <f t="shared" si="3"/>
        <v>0.90724507499999996</v>
      </c>
      <c r="H114">
        <v>0.95</v>
      </c>
    </row>
    <row r="115" spans="5:8" x14ac:dyDescent="0.25">
      <c r="E115" s="32">
        <v>2088</v>
      </c>
      <c r="F115" s="32">
        <v>105</v>
      </c>
      <c r="G115">
        <f t="shared" si="3"/>
        <v>0.90638204687500001</v>
      </c>
      <c r="H115">
        <v>0.95</v>
      </c>
    </row>
    <row r="116" spans="5:8" x14ac:dyDescent="0.25">
      <c r="E116" s="32">
        <v>2089</v>
      </c>
      <c r="F116" s="32">
        <v>106</v>
      </c>
      <c r="G116">
        <f t="shared" si="3"/>
        <v>0.90551901874999996</v>
      </c>
      <c r="H116">
        <v>0.95</v>
      </c>
    </row>
    <row r="117" spans="5:8" x14ac:dyDescent="0.25">
      <c r="E117" s="32">
        <v>2090</v>
      </c>
      <c r="F117" s="32">
        <v>107</v>
      </c>
      <c r="G117">
        <f t="shared" si="3"/>
        <v>0.90465599062500002</v>
      </c>
      <c r="H117">
        <v>0.95</v>
      </c>
    </row>
    <row r="118" spans="5:8" x14ac:dyDescent="0.25">
      <c r="E118" s="32">
        <v>2091</v>
      </c>
      <c r="F118" s="32">
        <v>108</v>
      </c>
      <c r="G118">
        <f t="shared" si="3"/>
        <v>0.90379296250000007</v>
      </c>
      <c r="H118">
        <v>0.95</v>
      </c>
    </row>
    <row r="119" spans="5:8" x14ac:dyDescent="0.25">
      <c r="E119" s="32">
        <v>2092</v>
      </c>
      <c r="F119" s="32">
        <v>109</v>
      </c>
      <c r="G119">
        <f t="shared" si="3"/>
        <v>0.90292993437499991</v>
      </c>
      <c r="H119">
        <v>0.95</v>
      </c>
    </row>
    <row r="120" spans="5:8" x14ac:dyDescent="0.25">
      <c r="E120" s="32">
        <v>2093</v>
      </c>
      <c r="F120" s="32">
        <v>110</v>
      </c>
      <c r="G120">
        <f t="shared" si="3"/>
        <v>0.90206690624999997</v>
      </c>
      <c r="H120">
        <v>0.95</v>
      </c>
    </row>
    <row r="121" spans="5:8" x14ac:dyDescent="0.25">
      <c r="E121" s="32">
        <v>2094</v>
      </c>
      <c r="F121" s="32">
        <v>111</v>
      </c>
      <c r="G121">
        <f t="shared" si="3"/>
        <v>0.90120387812500002</v>
      </c>
      <c r="H121">
        <v>0.95</v>
      </c>
    </row>
    <row r="122" spans="5:8" x14ac:dyDescent="0.25">
      <c r="E122" s="32">
        <v>2095</v>
      </c>
      <c r="F122" s="32">
        <v>112</v>
      </c>
      <c r="G122">
        <f t="shared" si="3"/>
        <v>0.90034084999999997</v>
      </c>
      <c r="H122">
        <v>0.95</v>
      </c>
    </row>
    <row r="123" spans="5:8" x14ac:dyDescent="0.25">
      <c r="E123" s="32">
        <v>2096</v>
      </c>
      <c r="F123" s="32">
        <v>113</v>
      </c>
      <c r="G123">
        <f t="shared" si="3"/>
        <v>0.89947782187500003</v>
      </c>
      <c r="H123">
        <v>0.95</v>
      </c>
    </row>
    <row r="124" spans="5:8" x14ac:dyDescent="0.25">
      <c r="E124" s="32">
        <v>2097</v>
      </c>
      <c r="F124" s="32">
        <v>114</v>
      </c>
      <c r="G124">
        <f t="shared" si="3"/>
        <v>0.89861479374999997</v>
      </c>
      <c r="H124">
        <v>0.95</v>
      </c>
    </row>
    <row r="125" spans="5:8" x14ac:dyDescent="0.25">
      <c r="E125" s="32">
        <v>2098</v>
      </c>
      <c r="F125" s="32">
        <v>115</v>
      </c>
      <c r="G125">
        <f t="shared" si="3"/>
        <v>0.89775176562499992</v>
      </c>
      <c r="H125">
        <v>0.95</v>
      </c>
    </row>
    <row r="126" spans="5:8" x14ac:dyDescent="0.25">
      <c r="E126" s="32">
        <v>2099</v>
      </c>
      <c r="F126" s="32">
        <v>116</v>
      </c>
      <c r="G126">
        <f t="shared" si="3"/>
        <v>0.89688873749999998</v>
      </c>
      <c r="H126">
        <v>0.95</v>
      </c>
    </row>
    <row r="127" spans="5:8" x14ac:dyDescent="0.25">
      <c r="E127" s="32">
        <v>2100</v>
      </c>
      <c r="F127" s="32">
        <v>117</v>
      </c>
      <c r="G127">
        <f t="shared" si="3"/>
        <v>0.89602570937500003</v>
      </c>
      <c r="H127">
        <v>0.95</v>
      </c>
    </row>
    <row r="128" spans="5:8" x14ac:dyDescent="0.25">
      <c r="E128" s="32">
        <v>2101</v>
      </c>
      <c r="F128" s="32">
        <v>118</v>
      </c>
      <c r="G128">
        <f t="shared" si="3"/>
        <v>0.89516268124999998</v>
      </c>
      <c r="H128">
        <v>0.95</v>
      </c>
    </row>
    <row r="129" spans="5:8" x14ac:dyDescent="0.25">
      <c r="E129" s="32">
        <v>2102</v>
      </c>
      <c r="F129" s="32">
        <v>119</v>
      </c>
      <c r="G129">
        <f t="shared" si="3"/>
        <v>0.89429965312500004</v>
      </c>
      <c r="H129">
        <v>0.95</v>
      </c>
    </row>
    <row r="130" spans="5:8" x14ac:dyDescent="0.25">
      <c r="E130" s="32">
        <v>2103</v>
      </c>
      <c r="F130" s="32">
        <v>120</v>
      </c>
      <c r="G130">
        <f t="shared" si="3"/>
        <v>0.8934366250000001</v>
      </c>
      <c r="H130">
        <v>0.95</v>
      </c>
    </row>
    <row r="131" spans="5:8" x14ac:dyDescent="0.25">
      <c r="E131" s="32">
        <v>2104</v>
      </c>
      <c r="F131" s="32">
        <v>121</v>
      </c>
      <c r="G131">
        <f t="shared" si="3"/>
        <v>0.89257359687499993</v>
      </c>
      <c r="H131">
        <v>0.95</v>
      </c>
    </row>
    <row r="132" spans="5:8" x14ac:dyDescent="0.25">
      <c r="E132" s="32">
        <v>2105</v>
      </c>
      <c r="F132" s="32">
        <v>122</v>
      </c>
      <c r="G132">
        <f t="shared" si="3"/>
        <v>0.89171056874999999</v>
      </c>
      <c r="H132">
        <v>0.95</v>
      </c>
    </row>
    <row r="133" spans="5:8" x14ac:dyDescent="0.25">
      <c r="E133" s="32">
        <v>2106</v>
      </c>
      <c r="F133" s="32">
        <v>123</v>
      </c>
      <c r="G133">
        <f t="shared" si="3"/>
        <v>0.89084754062500005</v>
      </c>
      <c r="H133">
        <v>0.95</v>
      </c>
    </row>
    <row r="134" spans="5:8" x14ac:dyDescent="0.25">
      <c r="E134" s="32">
        <v>2107</v>
      </c>
      <c r="H134">
        <v>0.95</v>
      </c>
    </row>
    <row r="135" spans="5:8" x14ac:dyDescent="0.25">
      <c r="E135" s="32">
        <v>2108</v>
      </c>
      <c r="H135">
        <v>0.95</v>
      </c>
    </row>
    <row r="136" spans="5:8" x14ac:dyDescent="0.25">
      <c r="E136" s="32">
        <v>2109</v>
      </c>
      <c r="H136">
        <v>0.95</v>
      </c>
    </row>
    <row r="137" spans="5:8" x14ac:dyDescent="0.25">
      <c r="E137" s="32">
        <v>2110</v>
      </c>
      <c r="H137">
        <v>0.95</v>
      </c>
    </row>
    <row r="138" spans="5:8" x14ac:dyDescent="0.25">
      <c r="E138" s="32">
        <v>2111</v>
      </c>
      <c r="H138">
        <v>0.95</v>
      </c>
    </row>
    <row r="139" spans="5:8" x14ac:dyDescent="0.25">
      <c r="E139" s="32">
        <v>2112</v>
      </c>
      <c r="H139">
        <v>0.95</v>
      </c>
    </row>
    <row r="140" spans="5:8" x14ac:dyDescent="0.25">
      <c r="E140" s="32">
        <v>2113</v>
      </c>
      <c r="H140">
        <v>0.95</v>
      </c>
    </row>
    <row r="141" spans="5:8" x14ac:dyDescent="0.25">
      <c r="E141" s="32">
        <v>2114</v>
      </c>
      <c r="H141">
        <v>0.95</v>
      </c>
    </row>
    <row r="142" spans="5:8" x14ac:dyDescent="0.25">
      <c r="E142" s="32">
        <v>2115</v>
      </c>
      <c r="H142">
        <v>0.95</v>
      </c>
    </row>
    <row r="143" spans="5:8" x14ac:dyDescent="0.25">
      <c r="E143" s="32">
        <v>2116</v>
      </c>
      <c r="H143">
        <v>0.95</v>
      </c>
    </row>
    <row r="144" spans="5:8" x14ac:dyDescent="0.25">
      <c r="E144" s="32">
        <v>2117</v>
      </c>
      <c r="H144">
        <v>0.95</v>
      </c>
    </row>
    <row r="145" spans="5:8" x14ac:dyDescent="0.25">
      <c r="E145" s="32">
        <v>2118</v>
      </c>
      <c r="H145">
        <v>0.95</v>
      </c>
    </row>
    <row r="146" spans="5:8" x14ac:dyDescent="0.25">
      <c r="E146" s="32">
        <v>2119</v>
      </c>
      <c r="H146">
        <v>0.95</v>
      </c>
    </row>
    <row r="147" spans="5:8" x14ac:dyDescent="0.25">
      <c r="E147" s="32">
        <v>2120</v>
      </c>
      <c r="H147">
        <v>0.95</v>
      </c>
    </row>
    <row r="148" spans="5:8" x14ac:dyDescent="0.25">
      <c r="E148" s="32">
        <v>2121</v>
      </c>
      <c r="H148">
        <v>0.95</v>
      </c>
    </row>
    <row r="149" spans="5:8" x14ac:dyDescent="0.25">
      <c r="E149" s="32">
        <v>2122</v>
      </c>
      <c r="H149">
        <v>0.95</v>
      </c>
    </row>
    <row r="150" spans="5:8" x14ac:dyDescent="0.25">
      <c r="E150" s="32">
        <v>2123</v>
      </c>
      <c r="H150">
        <v>0.95</v>
      </c>
    </row>
    <row r="151" spans="5:8" x14ac:dyDescent="0.25">
      <c r="E151" s="32">
        <v>2124</v>
      </c>
      <c r="H151">
        <v>0.95</v>
      </c>
    </row>
    <row r="152" spans="5:8" x14ac:dyDescent="0.25">
      <c r="E152" s="32">
        <v>2125</v>
      </c>
      <c r="H152">
        <v>0.95</v>
      </c>
    </row>
    <row r="153" spans="5:8" x14ac:dyDescent="0.25">
      <c r="E153" s="32">
        <v>2126</v>
      </c>
      <c r="H153">
        <v>0.95</v>
      </c>
    </row>
    <row r="154" spans="5:8" x14ac:dyDescent="0.25">
      <c r="E154" s="32">
        <v>2127</v>
      </c>
      <c r="H154">
        <v>0.95</v>
      </c>
    </row>
    <row r="155" spans="5:8" x14ac:dyDescent="0.25">
      <c r="E155" s="32">
        <v>2128</v>
      </c>
      <c r="H155">
        <v>0.95</v>
      </c>
    </row>
    <row r="156" spans="5:8" x14ac:dyDescent="0.25">
      <c r="E156" s="32">
        <v>2129</v>
      </c>
      <c r="H156">
        <v>0.95</v>
      </c>
    </row>
    <row r="157" spans="5:8" x14ac:dyDescent="0.25">
      <c r="E157" s="32">
        <v>2130</v>
      </c>
      <c r="H157">
        <v>0.95</v>
      </c>
    </row>
    <row r="158" spans="5:8" x14ac:dyDescent="0.25">
      <c r="E158" s="32">
        <v>2131</v>
      </c>
      <c r="H158">
        <v>0.95</v>
      </c>
    </row>
    <row r="159" spans="5:8" x14ac:dyDescent="0.25">
      <c r="E159" s="32">
        <v>2132</v>
      </c>
      <c r="H159">
        <v>0.95</v>
      </c>
    </row>
    <row r="160" spans="5:8" x14ac:dyDescent="0.25">
      <c r="E160" s="32">
        <v>2133</v>
      </c>
      <c r="H160">
        <v>0.95</v>
      </c>
    </row>
    <row r="161" spans="5:8" x14ac:dyDescent="0.25">
      <c r="E161" s="32">
        <v>2134</v>
      </c>
      <c r="H161">
        <v>0.95</v>
      </c>
    </row>
    <row r="162" spans="5:8" x14ac:dyDescent="0.25">
      <c r="E162" s="32">
        <v>2135</v>
      </c>
      <c r="H162">
        <v>0.95</v>
      </c>
    </row>
    <row r="163" spans="5:8" x14ac:dyDescent="0.25">
      <c r="E163" s="32">
        <v>2136</v>
      </c>
      <c r="H163">
        <v>0.95</v>
      </c>
    </row>
    <row r="164" spans="5:8" x14ac:dyDescent="0.25">
      <c r="E164" s="32">
        <v>2137</v>
      </c>
      <c r="H164">
        <v>0.95</v>
      </c>
    </row>
    <row r="165" spans="5:8" x14ac:dyDescent="0.25">
      <c r="E165" s="32">
        <v>2138</v>
      </c>
      <c r="H165">
        <v>0.95</v>
      </c>
    </row>
    <row r="166" spans="5:8" x14ac:dyDescent="0.25">
      <c r="E166" s="32">
        <v>2139</v>
      </c>
      <c r="H166">
        <v>0.95</v>
      </c>
    </row>
    <row r="167" spans="5:8" x14ac:dyDescent="0.25">
      <c r="E167" s="32">
        <v>2140</v>
      </c>
      <c r="H167">
        <v>0.95</v>
      </c>
    </row>
    <row r="168" spans="5:8" x14ac:dyDescent="0.25">
      <c r="E168" s="32">
        <v>2141</v>
      </c>
      <c r="H168">
        <v>0.95</v>
      </c>
    </row>
    <row r="169" spans="5:8" x14ac:dyDescent="0.25">
      <c r="E169" s="32">
        <v>2142</v>
      </c>
      <c r="H169">
        <v>0.95</v>
      </c>
    </row>
    <row r="170" spans="5:8" x14ac:dyDescent="0.25">
      <c r="E170" s="32">
        <v>2143</v>
      </c>
      <c r="H170">
        <v>0.95</v>
      </c>
    </row>
    <row r="171" spans="5:8" x14ac:dyDescent="0.25">
      <c r="E171" s="32">
        <v>2144</v>
      </c>
      <c r="H171">
        <v>0.95</v>
      </c>
    </row>
    <row r="172" spans="5:8" x14ac:dyDescent="0.25">
      <c r="E172" s="32">
        <v>2145</v>
      </c>
      <c r="H172">
        <v>0.95</v>
      </c>
    </row>
    <row r="173" spans="5:8" x14ac:dyDescent="0.25">
      <c r="E173" s="32">
        <v>2146</v>
      </c>
      <c r="H173">
        <v>0.95</v>
      </c>
    </row>
    <row r="174" spans="5:8" x14ac:dyDescent="0.25">
      <c r="E174" s="32">
        <v>2147</v>
      </c>
      <c r="H174">
        <v>0.95</v>
      </c>
    </row>
    <row r="175" spans="5:8" x14ac:dyDescent="0.25">
      <c r="E175" s="32">
        <v>2148</v>
      </c>
      <c r="H175">
        <v>0.95</v>
      </c>
    </row>
    <row r="176" spans="5:8" x14ac:dyDescent="0.25">
      <c r="E176" s="32">
        <v>2149</v>
      </c>
      <c r="H176">
        <v>0.95</v>
      </c>
    </row>
    <row r="177" spans="5:8" x14ac:dyDescent="0.25">
      <c r="E177" s="32">
        <v>2150</v>
      </c>
      <c r="H177">
        <v>0.95</v>
      </c>
    </row>
    <row r="178" spans="5:8" x14ac:dyDescent="0.25">
      <c r="E178" s="32">
        <v>2151</v>
      </c>
      <c r="H178">
        <v>0.95</v>
      </c>
    </row>
    <row r="179" spans="5:8" x14ac:dyDescent="0.25">
      <c r="E179" s="32">
        <v>2152</v>
      </c>
      <c r="H179">
        <v>0.95</v>
      </c>
    </row>
    <row r="180" spans="5:8" x14ac:dyDescent="0.25">
      <c r="E180" s="32">
        <v>2153</v>
      </c>
      <c r="H180">
        <v>0.95</v>
      </c>
    </row>
    <row r="181" spans="5:8" x14ac:dyDescent="0.25">
      <c r="E181" s="32">
        <v>2154</v>
      </c>
      <c r="H181">
        <v>0.95</v>
      </c>
    </row>
    <row r="182" spans="5:8" x14ac:dyDescent="0.25">
      <c r="E182" s="32">
        <v>2155</v>
      </c>
      <c r="H182">
        <v>0.95</v>
      </c>
    </row>
    <row r="183" spans="5:8" x14ac:dyDescent="0.25">
      <c r="E183" s="32">
        <v>2156</v>
      </c>
      <c r="H183">
        <v>0.95</v>
      </c>
    </row>
    <row r="184" spans="5:8" x14ac:dyDescent="0.25">
      <c r="E184" s="32">
        <v>2157</v>
      </c>
      <c r="H184">
        <v>0.95</v>
      </c>
    </row>
    <row r="185" spans="5:8" x14ac:dyDescent="0.25">
      <c r="E185" s="32">
        <v>2158</v>
      </c>
      <c r="H185">
        <v>0.95</v>
      </c>
    </row>
    <row r="186" spans="5:8" x14ac:dyDescent="0.25">
      <c r="E186" s="32">
        <v>2159</v>
      </c>
      <c r="H186">
        <v>0.95</v>
      </c>
    </row>
    <row r="187" spans="5:8" x14ac:dyDescent="0.25">
      <c r="E187" s="32">
        <v>2160</v>
      </c>
      <c r="H187">
        <v>0.95</v>
      </c>
    </row>
    <row r="188" spans="5:8" x14ac:dyDescent="0.25">
      <c r="E188" s="32">
        <v>2161</v>
      </c>
      <c r="H188">
        <v>0.95</v>
      </c>
    </row>
    <row r="189" spans="5:8" x14ac:dyDescent="0.25">
      <c r="E189" s="32">
        <v>2162</v>
      </c>
      <c r="H189">
        <v>0.95</v>
      </c>
    </row>
    <row r="190" spans="5:8" x14ac:dyDescent="0.25">
      <c r="E190" s="32">
        <v>2163</v>
      </c>
      <c r="H190">
        <v>0.95</v>
      </c>
    </row>
    <row r="191" spans="5:8" x14ac:dyDescent="0.25">
      <c r="E191" s="32">
        <v>2164</v>
      </c>
      <c r="H191">
        <v>0.95</v>
      </c>
    </row>
    <row r="192" spans="5:8" x14ac:dyDescent="0.25">
      <c r="E192" s="32">
        <v>2165</v>
      </c>
      <c r="H192">
        <v>0.95</v>
      </c>
    </row>
    <row r="193" spans="5:8" x14ac:dyDescent="0.25">
      <c r="E193" s="32">
        <v>2166</v>
      </c>
      <c r="H193">
        <v>0.95</v>
      </c>
    </row>
    <row r="194" spans="5:8" x14ac:dyDescent="0.25">
      <c r="E194" s="32">
        <v>2167</v>
      </c>
      <c r="H194">
        <v>0.95</v>
      </c>
    </row>
    <row r="195" spans="5:8" x14ac:dyDescent="0.25">
      <c r="E195" s="32">
        <v>2168</v>
      </c>
      <c r="H195">
        <v>0.95</v>
      </c>
    </row>
    <row r="196" spans="5:8" x14ac:dyDescent="0.25">
      <c r="E196" s="32">
        <v>2169</v>
      </c>
      <c r="H196">
        <v>0.95</v>
      </c>
    </row>
    <row r="197" spans="5:8" x14ac:dyDescent="0.25">
      <c r="E197" s="32">
        <v>2170</v>
      </c>
      <c r="H197">
        <v>0.95</v>
      </c>
    </row>
    <row r="198" spans="5:8" x14ac:dyDescent="0.25">
      <c r="E198" s="32">
        <v>2171</v>
      </c>
      <c r="H198">
        <v>0.95</v>
      </c>
    </row>
    <row r="199" spans="5:8" x14ac:dyDescent="0.25">
      <c r="E199" s="32">
        <v>2172</v>
      </c>
      <c r="H199">
        <v>0.95</v>
      </c>
    </row>
    <row r="200" spans="5:8" x14ac:dyDescent="0.25">
      <c r="E200" s="32">
        <v>2173</v>
      </c>
      <c r="H200">
        <v>0.95</v>
      </c>
    </row>
    <row r="201" spans="5:8" x14ac:dyDescent="0.25">
      <c r="E201" s="32">
        <v>2174</v>
      </c>
      <c r="H201">
        <v>0.95</v>
      </c>
    </row>
    <row r="202" spans="5:8" x14ac:dyDescent="0.25">
      <c r="E202" s="32">
        <v>2175</v>
      </c>
      <c r="H202">
        <v>0.95</v>
      </c>
    </row>
    <row r="203" spans="5:8" x14ac:dyDescent="0.25">
      <c r="E203" s="32">
        <v>2176</v>
      </c>
      <c r="H203">
        <v>0.95</v>
      </c>
    </row>
    <row r="204" spans="5:8" x14ac:dyDescent="0.25">
      <c r="E204" s="32">
        <v>2177</v>
      </c>
      <c r="H204">
        <v>0.95</v>
      </c>
    </row>
    <row r="205" spans="5:8" x14ac:dyDescent="0.25">
      <c r="E205" s="32">
        <v>2178</v>
      </c>
      <c r="H205">
        <v>0.95</v>
      </c>
    </row>
    <row r="206" spans="5:8" x14ac:dyDescent="0.25">
      <c r="E206" s="32">
        <v>2179</v>
      </c>
      <c r="H206">
        <v>0.95</v>
      </c>
    </row>
    <row r="207" spans="5:8" x14ac:dyDescent="0.25">
      <c r="E207" s="32">
        <v>2180</v>
      </c>
      <c r="H207">
        <v>0.95</v>
      </c>
    </row>
    <row r="208" spans="5:8" x14ac:dyDescent="0.25">
      <c r="E208" s="32">
        <v>2181</v>
      </c>
      <c r="H208">
        <v>0.95</v>
      </c>
    </row>
    <row r="209" spans="5:8" x14ac:dyDescent="0.25">
      <c r="E209" s="32">
        <v>2182</v>
      </c>
      <c r="H209">
        <v>0.95</v>
      </c>
    </row>
    <row r="210" spans="5:8" x14ac:dyDescent="0.25">
      <c r="E210" s="32">
        <v>2183</v>
      </c>
      <c r="H210">
        <v>0.95</v>
      </c>
    </row>
    <row r="211" spans="5:8" x14ac:dyDescent="0.25">
      <c r="E211" s="32">
        <v>2184</v>
      </c>
      <c r="H211">
        <v>0.95</v>
      </c>
    </row>
    <row r="212" spans="5:8" x14ac:dyDescent="0.25">
      <c r="E212" s="32">
        <v>2185</v>
      </c>
      <c r="H212">
        <v>0.95</v>
      </c>
    </row>
    <row r="213" spans="5:8" x14ac:dyDescent="0.25">
      <c r="E213" s="32">
        <v>2186</v>
      </c>
      <c r="H213">
        <v>0.95</v>
      </c>
    </row>
    <row r="214" spans="5:8" x14ac:dyDescent="0.25">
      <c r="E214" s="32">
        <v>2187</v>
      </c>
      <c r="H214">
        <v>0.95</v>
      </c>
    </row>
    <row r="215" spans="5:8" x14ac:dyDescent="0.25">
      <c r="E215" s="32">
        <v>2188</v>
      </c>
      <c r="H215">
        <v>0.95</v>
      </c>
    </row>
    <row r="216" spans="5:8" x14ac:dyDescent="0.25">
      <c r="E216" s="32">
        <v>2189</v>
      </c>
      <c r="H216">
        <v>0.95</v>
      </c>
    </row>
    <row r="217" spans="5:8" x14ac:dyDescent="0.25">
      <c r="E217" s="32">
        <v>2190</v>
      </c>
      <c r="H217">
        <v>0.95</v>
      </c>
    </row>
    <row r="218" spans="5:8" x14ac:dyDescent="0.25">
      <c r="E218" s="32">
        <v>2191</v>
      </c>
      <c r="H218">
        <v>0.95</v>
      </c>
    </row>
    <row r="219" spans="5:8" x14ac:dyDescent="0.25">
      <c r="E219" s="32">
        <v>2192</v>
      </c>
      <c r="H219">
        <v>0.95</v>
      </c>
    </row>
    <row r="220" spans="5:8" x14ac:dyDescent="0.25">
      <c r="E220" s="32">
        <v>2193</v>
      </c>
      <c r="H220">
        <v>0.95</v>
      </c>
    </row>
    <row r="221" spans="5:8" x14ac:dyDescent="0.25">
      <c r="E221" s="32">
        <v>2194</v>
      </c>
      <c r="H221">
        <v>0.95</v>
      </c>
    </row>
    <row r="222" spans="5:8" x14ac:dyDescent="0.25">
      <c r="E222" s="32">
        <v>2195</v>
      </c>
      <c r="H222">
        <v>0.95</v>
      </c>
    </row>
    <row r="223" spans="5:8" x14ac:dyDescent="0.25">
      <c r="E223" s="32">
        <v>2196</v>
      </c>
      <c r="H223">
        <v>0.95</v>
      </c>
    </row>
    <row r="224" spans="5:8" x14ac:dyDescent="0.25">
      <c r="E224" s="32">
        <v>2197</v>
      </c>
      <c r="H224">
        <v>0.95</v>
      </c>
    </row>
    <row r="225" spans="5:8" x14ac:dyDescent="0.25">
      <c r="E225" s="32">
        <v>2198</v>
      </c>
      <c r="H225">
        <v>0.95</v>
      </c>
    </row>
    <row r="226" spans="5:8" x14ac:dyDescent="0.25">
      <c r="E226" s="32">
        <v>2199</v>
      </c>
      <c r="H226">
        <v>0.95</v>
      </c>
    </row>
    <row r="227" spans="5:8" x14ac:dyDescent="0.25">
      <c r="E227" s="32">
        <v>2200</v>
      </c>
      <c r="H227">
        <v>0.95</v>
      </c>
    </row>
  </sheetData>
  <mergeCells count="3">
    <mergeCell ref="A1:Y3"/>
    <mergeCell ref="A4:Y6"/>
    <mergeCell ref="A8:T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Failure Mode Effects Model- WTC</vt:lpstr>
      <vt:lpstr>FMEM-Metal Film Resistor</vt:lpstr>
      <vt:lpstr>Sheet2</vt:lpstr>
      <vt:lpstr>Sheet1</vt:lpstr>
      <vt:lpstr>FMEM- metal Film Resistor</vt:lpstr>
      <vt:lpstr>alloc</vt:lpstr>
      <vt:lpstr>beta</vt:lpstr>
      <vt:lpstr>chance</vt:lpstr>
      <vt:lpstr>eta</vt:lpstr>
      <vt:lpstr>margin</vt:lpstr>
      <vt:lpstr>mfr_yr</vt:lpstr>
      <vt:lpstr>RdegradeRate</vt:lpstr>
      <vt:lpstr>resistor_alloc_rel</vt:lpstr>
      <vt:lpstr>ups</vt:lpstr>
    </vt:vector>
  </TitlesOfParts>
  <Company>U.S Air Force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Bill LaPach</dc:creator>
  <cp:lastModifiedBy>Bill LaPach</cp:lastModifiedBy>
  <cp:lastPrinted>2015-07-14T16:09:38Z</cp:lastPrinted>
  <dcterms:created xsi:type="dcterms:W3CDTF">2014-06-19T14:29:34Z</dcterms:created>
  <dcterms:modified xsi:type="dcterms:W3CDTF">2017-04-18T15:06:50Z</dcterms:modified>
</cp:coreProperties>
</file>